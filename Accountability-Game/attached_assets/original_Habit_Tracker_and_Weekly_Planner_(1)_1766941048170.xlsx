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ner" sheetId="1" state="visible" r:id="rId1"/>
    <sheet xmlns:r="http://schemas.openxmlformats.org/officeDocument/2006/relationships" name="Monthly Habits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[=1]&quot;☑&quot;;[=0]&quot;☐&quot;;&quot;&quot;"/>
  </numFmts>
  <fonts count="15">
    <font>
      <name val="Calibri"/>
      <family val="2"/>
      <color theme="1"/>
      <sz val="11"/>
      <scheme val="minor"/>
    </font>
    <font>
      <b val="1"/>
      <color rgb="00666666"/>
      <sz val="24"/>
    </font>
    <font>
      <b val="1"/>
      <color rgb="00666666"/>
    </font>
    <font>
      <i val="1"/>
      <color rgb="00666666"/>
      <sz val="10"/>
    </font>
    <font>
      <b val="1"/>
      <color rgb="00FFFFFF"/>
      <sz val="16"/>
    </font>
    <font>
      <b val="1"/>
      <color rgb="00666666"/>
      <sz val="20"/>
    </font>
    <font>
      <b val="1"/>
      <color rgb="00FFFFFF"/>
    </font>
    <font>
      <sz val="14"/>
    </font>
    <font>
      <color rgb="00FFFFFF"/>
      <sz val="9"/>
    </font>
    <font>
      <color rgb="00FFFFFF"/>
      <sz val="8"/>
    </font>
    <font>
      <b val="1"/>
      <color rgb="00666666"/>
      <sz val="14"/>
    </font>
    <font>
      <color rgb="00666666"/>
      <sz val="32"/>
    </font>
    <font>
      <color rgb="00666666"/>
    </font>
    <font>
      <color rgb="00666666"/>
      <sz val="9"/>
    </font>
    <font>
      <b val="1"/>
      <color rgb="00666666"/>
      <sz val="16"/>
    </font>
  </fonts>
  <fills count="6">
    <fill>
      <patternFill/>
    </fill>
    <fill>
      <patternFill patternType="gray125"/>
    </fill>
    <fill>
      <patternFill patternType="solid">
        <fgColor rgb="00CFE6C3"/>
      </patternFill>
    </fill>
    <fill>
      <patternFill patternType="solid">
        <fgColor rgb="004F8A10"/>
      </patternFill>
    </fill>
    <fill>
      <patternFill patternType="solid">
        <fgColor rgb="00E6E6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2" borderId="1" pivotButton="0" quotePrefix="0" xfId="0"/>
    <xf numFmtId="0" fontId="3" fillId="0" borderId="0" pivotButton="0" quotePrefix="0" xfId="0"/>
    <xf numFmtId="9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2" fillId="4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0" fillId="0" borderId="0" pivotButton="0" quotePrefix="0" xfId="0"/>
    <xf numFmtId="9" fontId="10" fillId="4" borderId="0" pivotButton="0" quotePrefix="0" xfId="0"/>
    <xf numFmtId="0" fontId="11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9" fontId="13" fillId="5" borderId="1" applyAlignment="1" pivotButton="0" quotePrefix="0" xfId="0">
      <alignment horizontal="center" vertical="center"/>
    </xf>
    <xf numFmtId="1" fontId="13" fillId="5" borderId="1" applyAlignment="1" pivotButton="0" quotePrefix="0" xfId="0">
      <alignment horizontal="center" vertical="center"/>
    </xf>
    <xf numFmtId="9" fontId="14" fillId="4" borderId="0" pivotButton="0" quotePrefix="0" xfId="0"/>
    <xf numFmtId="10" fontId="14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4F8A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'Weekly Planner'!$AN$7:$AN$8</f>
            </numRef>
          </cat>
          <val>
            <numRef>
              <f>'Weekly Planner'!$AO$7:$AO$8</f>
            </numRef>
          </val>
        </ser>
        <dLbls>
          <showPercent val="0"/>
        </dLbls>
        <firstSliceAng val="0"/>
        <holeSize val="70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'Weekly Planner'!$AS$7:$AS$8</f>
            </numRef>
          </cat>
          <val>
            <numRef>
              <f>'Weekly Planner'!$AT$7:$AT$8</f>
            </numRef>
          </val>
        </ser>
        <dLbls>
          <showPercent val="0"/>
        </dLbls>
        <firstSliceAng val="0"/>
        <holeSize val="70"/>
      </doughnutChart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'Weekly Planner'!$AX$7:$AX$8</f>
            </numRef>
          </cat>
          <val>
            <numRef>
              <f>'Weekly Planner'!$AY$7:$AY$8</f>
            </numRef>
          </val>
        </ser>
        <dLbls>
          <showPercent val="0"/>
        </dLbls>
        <firstSliceAng val="0"/>
        <holeSize val="70"/>
      </doughnutChart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'Weekly Planner'!$BC$7:$BC$8</f>
            </numRef>
          </cat>
          <val>
            <numRef>
              <f>'Weekly Planner'!$BD$7:$BD$8</f>
            </numRef>
          </val>
        </ser>
        <dLbls>
          <showPercent val="0"/>
        </dLbls>
        <firstSliceAng val="0"/>
        <holeSize val="70"/>
      </doughnutChart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'Weekly Planner'!$BH$7:$BH$8</f>
            </numRef>
          </cat>
          <val>
            <numRef>
              <f>'Weekly Planner'!$BI$7:$BI$8</f>
            </numRef>
          </val>
        </ser>
        <dLbls>
          <showPercent val="0"/>
        </dLbls>
        <firstSliceAng val="0"/>
        <holeSize val="70"/>
      </doughnutChart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completion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Habits'!$K$20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Habits'!$L$20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Habits'!$M$20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Habits'!$N$20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Habits'!$O$20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Habits'!$P$20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Habits'!$Q$20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Habits'!$R$20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Habits'!$S$20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Habits'!$T$20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Habits'!$U$20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Habits'!$V$20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Habits'!$W$20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Habits'!$X$20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Habits'!$Y$20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Habits'!$Z$20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Habits'!$AA$20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Habits'!$AB$20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Habits'!$AC$20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Habits'!$AD$20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Habits'!$AE$20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Habits'!$B$8:$AF$8</f>
            </numRef>
          </cat>
          <val>
            <numRef>
              <f>'Monthly Habits'!$AF$20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 by habit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'Analysis'!$A$7:$A$16</f>
            </numRef>
          </cat>
          <val>
            <numRef>
              <f>'Analysis'!$D$7:$D$16</f>
            </numRef>
          </val>
        </ser>
        <gapWidth val="150"/>
        <axId val="10"/>
        <axId val="100"/>
      </barChart>
      <catAx>
        <axId val="10"/>
        <scaling>
          <orientation val="minMax"/>
          <max val="1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Habit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40000" cy="12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1440000" cy="12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6</row>
      <rowOff>0</rowOff>
    </from>
    <ext cx="1440000" cy="12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6</row>
      <rowOff>0</rowOff>
    </from>
    <ext cx="1440000" cy="12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6</row>
      <rowOff>0</rowOff>
    </from>
    <ext cx="1440000" cy="12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18" customWidth="1" min="7" max="7"/>
    <col width="3" customWidth="1" min="8" max="8"/>
    <col width="3" customWidth="1" min="9" max="9"/>
    <col width="3" customWidth="1" min="10" max="10"/>
    <col width="3" customWidth="1" min="11" max="11"/>
    <col width="5" customWidth="1" min="12" max="12"/>
    <col width="18" customWidth="1" min="13" max="13"/>
    <col width="3" customWidth="1" min="14" max="14"/>
    <col width="3" customWidth="1" min="15" max="15"/>
    <col width="3" customWidth="1" min="16" max="16"/>
    <col width="3" customWidth="1" min="17" max="17"/>
    <col width="5" customWidth="1" min="18" max="18"/>
    <col width="18" customWidth="1" min="19" max="19"/>
    <col width="3" customWidth="1" min="20" max="20"/>
    <col width="3" customWidth="1" min="21" max="21"/>
    <col width="3" customWidth="1" min="22" max="22"/>
    <col width="3" customWidth="1" min="23" max="23"/>
    <col width="5" customWidth="1" min="24" max="24"/>
    <col width="18" customWidth="1" min="25" max="25"/>
    <col width="3" customWidth="1" min="26" max="26"/>
    <col width="3" customWidth="1" min="27" max="27"/>
    <col width="3" customWidth="1" min="28" max="28"/>
    <col width="3" customWidth="1" min="29" max="29"/>
    <col width="5" customWidth="1" min="30" max="30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Weekly Planner</t>
        </is>
      </c>
    </row>
    <row r="2">
      <c r="AN2" t="inlineStr">
        <is>
          <t>Monday_total</t>
        </is>
      </c>
      <c r="AO2" t="inlineStr">
        <is>
          <t>Monday_completed</t>
        </is>
      </c>
      <c r="AP2" t="inlineStr">
        <is>
          <t>Monday_remaining</t>
        </is>
      </c>
      <c r="AQ2" t="inlineStr">
        <is>
          <t>Monday_progress</t>
        </is>
      </c>
      <c r="AS2" t="inlineStr">
        <is>
          <t>Tuesday_total</t>
        </is>
      </c>
      <c r="AT2" t="inlineStr">
        <is>
          <t>Tuesday_completed</t>
        </is>
      </c>
      <c r="AU2" t="inlineStr">
        <is>
          <t>Tuesday_remaining</t>
        </is>
      </c>
      <c r="AV2" t="inlineStr">
        <is>
          <t>Tuesday_progress</t>
        </is>
      </c>
      <c r="AX2" t="inlineStr">
        <is>
          <t>Wednesday_total</t>
        </is>
      </c>
      <c r="AY2" t="inlineStr">
        <is>
          <t>Wednesday_completed</t>
        </is>
      </c>
      <c r="AZ2" t="inlineStr">
        <is>
          <t>Wednesday_remaining</t>
        </is>
      </c>
      <c r="BA2" t="inlineStr">
        <is>
          <t>Wednesday_progress</t>
        </is>
      </c>
      <c r="BC2" t="inlineStr">
        <is>
          <t>Thursday_total</t>
        </is>
      </c>
      <c r="BD2" t="inlineStr">
        <is>
          <t>Thursday_completed</t>
        </is>
      </c>
      <c r="BE2" t="inlineStr">
        <is>
          <t>Thursday_remaining</t>
        </is>
      </c>
      <c r="BF2" t="inlineStr">
        <is>
          <t>Thursday_progress</t>
        </is>
      </c>
      <c r="BH2" t="inlineStr">
        <is>
          <t>Friday_total</t>
        </is>
      </c>
      <c r="BI2" t="inlineStr">
        <is>
          <t>Friday_completed</t>
        </is>
      </c>
      <c r="BJ2" t="inlineStr">
        <is>
          <t>Friday_remaining</t>
        </is>
      </c>
      <c r="BK2" t="inlineStr">
        <is>
          <t>Friday_progress</t>
        </is>
      </c>
    </row>
    <row r="3">
      <c r="A3" s="2" t="inlineStr">
        <is>
          <t>Week starting (Monday):</t>
        </is>
      </c>
      <c r="B3" s="3" t="n">
        <v>45964</v>
      </c>
      <c r="D3" s="4" t="inlineStr">
        <is>
          <t>Enter tasks, then set Done to 1 (dropdown).</t>
        </is>
      </c>
      <c r="AN3">
        <f>COUNTIF(A16:A27,"&lt;&gt;")</f>
        <v/>
      </c>
      <c r="AO3">
        <f>SUMPRODUCT(--(A16:A27&lt;&gt;""),F16:F27)</f>
        <v/>
      </c>
      <c r="AP3">
        <f>MAX(0,AN3-AO3)</f>
        <v/>
      </c>
      <c r="AQ3" s="5">
        <f>IFERROR(AO3/AN3,0)</f>
        <v/>
      </c>
      <c r="AS3">
        <f>COUNTIF(G16:G27,"&lt;&gt;")</f>
        <v/>
      </c>
      <c r="AT3">
        <f>SUMPRODUCT(--(G16:G27&lt;&gt;""),L16:L27)</f>
        <v/>
      </c>
      <c r="AU3">
        <f>MAX(0,AS3-AT3)</f>
        <v/>
      </c>
      <c r="AV3" s="5">
        <f>IFERROR(AT3/AS3,0)</f>
        <v/>
      </c>
      <c r="AX3">
        <f>COUNTIF(M16:M27,"&lt;&gt;")</f>
        <v/>
      </c>
      <c r="AY3">
        <f>SUMPRODUCT(--(M16:M27&lt;&gt;""),R16:R27)</f>
        <v/>
      </c>
      <c r="AZ3">
        <f>MAX(0,AX3-AY3)</f>
        <v/>
      </c>
      <c r="BA3" s="5">
        <f>IFERROR(AY3/AX3,0)</f>
        <v/>
      </c>
      <c r="BC3">
        <f>COUNTIF(S16:S27,"&lt;&gt;")</f>
        <v/>
      </c>
      <c r="BD3">
        <f>SUMPRODUCT(--(S16:S27&lt;&gt;""),X16:X27)</f>
        <v/>
      </c>
      <c r="BE3">
        <f>MAX(0,BC3-BD3)</f>
        <v/>
      </c>
      <c r="BF3" s="5">
        <f>IFERROR(BD3/BC3,0)</f>
        <v/>
      </c>
      <c r="BH3">
        <f>COUNTIF(Y16:Y27,"&lt;&gt;")</f>
        <v/>
      </c>
      <c r="BI3">
        <f>SUMPRODUCT(--(Y16:Y27&lt;&gt;""),AD16:AD27)</f>
        <v/>
      </c>
      <c r="BJ3">
        <f>MAX(0,BH3-BI3)</f>
        <v/>
      </c>
      <c r="BK3" s="5">
        <f>IFERROR(BI3/BH3,0)</f>
        <v/>
      </c>
    </row>
    <row r="5" ht="24" customHeight="1">
      <c r="A5" s="6" t="inlineStr">
        <is>
          <t>Monday</t>
        </is>
      </c>
      <c r="B5" s="7" t="n"/>
      <c r="C5" s="7" t="n"/>
      <c r="D5" s="7" t="n"/>
      <c r="E5" s="7" t="n"/>
      <c r="F5" s="7" t="n"/>
      <c r="G5" s="6" t="inlineStr">
        <is>
          <t>Tuesday</t>
        </is>
      </c>
      <c r="H5" s="7" t="n"/>
      <c r="I5" s="7" t="n"/>
      <c r="J5" s="7" t="n"/>
      <c r="K5" s="7" t="n"/>
      <c r="L5" s="7" t="n"/>
      <c r="M5" s="6" t="inlineStr">
        <is>
          <t>Wednesday</t>
        </is>
      </c>
      <c r="N5" s="7" t="n"/>
      <c r="O5" s="7" t="n"/>
      <c r="P5" s="7" t="n"/>
      <c r="Q5" s="7" t="n"/>
      <c r="R5" s="7" t="n"/>
      <c r="S5" s="6" t="inlineStr">
        <is>
          <t>Thursday</t>
        </is>
      </c>
      <c r="T5" s="7" t="n"/>
      <c r="U5" s="7" t="n"/>
      <c r="V5" s="7" t="n"/>
      <c r="W5" s="7" t="n"/>
      <c r="X5" s="7" t="n"/>
      <c r="Y5" s="6" t="inlineStr">
        <is>
          <t>Friday</t>
        </is>
      </c>
      <c r="Z5" s="7" t="n"/>
      <c r="AA5" s="7" t="n"/>
      <c r="AB5" s="7" t="n"/>
      <c r="AC5" s="7" t="n"/>
      <c r="AD5" s="7" t="n"/>
    </row>
    <row r="6" ht="20" customHeight="1">
      <c r="A6" s="8">
        <f>$B$3+0</f>
        <v/>
      </c>
      <c r="B6" s="7" t="n"/>
      <c r="C6" s="7" t="n"/>
      <c r="D6" s="7" t="n"/>
      <c r="E6" s="7" t="n"/>
      <c r="F6" s="7" t="n"/>
      <c r="G6" s="8">
        <f>$B$3+1</f>
        <v/>
      </c>
      <c r="H6" s="7" t="n"/>
      <c r="I6" s="7" t="n"/>
      <c r="J6" s="7" t="n"/>
      <c r="K6" s="7" t="n"/>
      <c r="L6" s="7" t="n"/>
      <c r="M6" s="8">
        <f>$B$3+2</f>
        <v/>
      </c>
      <c r="N6" s="7" t="n"/>
      <c r="O6" s="7" t="n"/>
      <c r="P6" s="7" t="n"/>
      <c r="Q6" s="7" t="n"/>
      <c r="R6" s="7" t="n"/>
      <c r="S6" s="8">
        <f>$B$3+3</f>
        <v/>
      </c>
      <c r="T6" s="7" t="n"/>
      <c r="U6" s="7" t="n"/>
      <c r="V6" s="7" t="n"/>
      <c r="W6" s="7" t="n"/>
      <c r="X6" s="7" t="n"/>
      <c r="Y6" s="8">
        <f>$B$3+4</f>
        <v/>
      </c>
      <c r="Z6" s="7" t="n"/>
      <c r="AA6" s="7" t="n"/>
      <c r="AB6" s="7" t="n"/>
      <c r="AC6" s="7" t="n"/>
      <c r="AD6" s="7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N7" t="inlineStr">
        <is>
          <t>Completed</t>
        </is>
      </c>
      <c r="AO7">
        <f>AO3</f>
        <v/>
      </c>
      <c r="AS7" t="inlineStr">
        <is>
          <t>Completed</t>
        </is>
      </c>
      <c r="AT7">
        <f>AT3</f>
        <v/>
      </c>
      <c r="AX7" t="inlineStr">
        <is>
          <t>Completed</t>
        </is>
      </c>
      <c r="AY7">
        <f>AY3</f>
        <v/>
      </c>
      <c r="BC7" t="inlineStr">
        <is>
          <t>Completed</t>
        </is>
      </c>
      <c r="BD7">
        <f>BD3</f>
        <v/>
      </c>
      <c r="BH7" t="inlineStr">
        <is>
          <t>Completed</t>
        </is>
      </c>
      <c r="BI7">
        <f>BI3</f>
        <v/>
      </c>
    </row>
    <row r="8" ht="18" customHeight="1">
      <c r="A8" s="7" t="n"/>
      <c r="B8" s="9">
        <f>AQ3</f>
        <v/>
      </c>
      <c r="C8" s="7" t="n"/>
      <c r="D8" s="7" t="n"/>
      <c r="E8" s="7" t="n"/>
      <c r="F8" s="7" t="n"/>
      <c r="G8" s="7" t="n"/>
      <c r="H8" s="9">
        <f>AV3</f>
        <v/>
      </c>
      <c r="I8" s="7" t="n"/>
      <c r="J8" s="7" t="n"/>
      <c r="K8" s="7" t="n"/>
      <c r="L8" s="7" t="n"/>
      <c r="M8" s="7" t="n"/>
      <c r="N8" s="9">
        <f>BA3</f>
        <v/>
      </c>
      <c r="O8" s="7" t="n"/>
      <c r="P8" s="7" t="n"/>
      <c r="Q8" s="7" t="n"/>
      <c r="R8" s="7" t="n"/>
      <c r="S8" s="7" t="n"/>
      <c r="T8" s="9">
        <f>BF3</f>
        <v/>
      </c>
      <c r="U8" s="7" t="n"/>
      <c r="V8" s="7" t="n"/>
      <c r="W8" s="7" t="n"/>
      <c r="X8" s="7" t="n"/>
      <c r="Y8" s="7" t="n"/>
      <c r="Z8" s="9">
        <f>BK3</f>
        <v/>
      </c>
      <c r="AA8" s="7" t="n"/>
      <c r="AB8" s="7" t="n"/>
      <c r="AC8" s="7" t="n"/>
      <c r="AD8" s="7" t="n"/>
      <c r="AN8" t="inlineStr">
        <is>
          <t>Remaining</t>
        </is>
      </c>
      <c r="AO8">
        <f>AP3</f>
        <v/>
      </c>
      <c r="AS8" t="inlineStr">
        <is>
          <t>Remaining</t>
        </is>
      </c>
      <c r="AT8">
        <f>AU3</f>
        <v/>
      </c>
      <c r="AX8" t="inlineStr">
        <is>
          <t>Remaining</t>
        </is>
      </c>
      <c r="AY8">
        <f>AZ3</f>
        <v/>
      </c>
      <c r="BC8" t="inlineStr">
        <is>
          <t>Remaining</t>
        </is>
      </c>
      <c r="BD8">
        <f>BE3</f>
        <v/>
      </c>
      <c r="BH8" t="inlineStr">
        <is>
          <t>Remaining</t>
        </is>
      </c>
      <c r="BI8">
        <f>BJ3</f>
        <v/>
      </c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 ht="18" customHeight="1">
      <c r="A15" s="10" t="inlineStr">
        <is>
          <t>Tasks</t>
        </is>
      </c>
      <c r="B15" s="7" t="n"/>
      <c r="C15" s="7" t="n"/>
      <c r="D15" s="7" t="n"/>
      <c r="E15" s="7" t="n"/>
      <c r="F15" s="10" t="inlineStr">
        <is>
          <t>Done</t>
        </is>
      </c>
      <c r="G15" s="10" t="inlineStr">
        <is>
          <t>Tasks</t>
        </is>
      </c>
      <c r="H15" s="7" t="n"/>
      <c r="I15" s="7" t="n"/>
      <c r="J15" s="7" t="n"/>
      <c r="K15" s="7" t="n"/>
      <c r="L15" s="10" t="inlineStr">
        <is>
          <t>Done</t>
        </is>
      </c>
      <c r="M15" s="10" t="inlineStr">
        <is>
          <t>Tasks</t>
        </is>
      </c>
      <c r="N15" s="7" t="n"/>
      <c r="O15" s="7" t="n"/>
      <c r="P15" s="7" t="n"/>
      <c r="Q15" s="7" t="n"/>
      <c r="R15" s="10" t="inlineStr">
        <is>
          <t>Done</t>
        </is>
      </c>
      <c r="S15" s="10" t="inlineStr">
        <is>
          <t>Tasks</t>
        </is>
      </c>
      <c r="T15" s="7" t="n"/>
      <c r="U15" s="7" t="n"/>
      <c r="V15" s="7" t="n"/>
      <c r="W15" s="7" t="n"/>
      <c r="X15" s="10" t="inlineStr">
        <is>
          <t>Done</t>
        </is>
      </c>
      <c r="Y15" s="10" t="inlineStr">
        <is>
          <t>Tasks</t>
        </is>
      </c>
      <c r="Z15" s="7" t="n"/>
      <c r="AA15" s="7" t="n"/>
      <c r="AB15" s="7" t="n"/>
      <c r="AC15" s="7" t="n"/>
      <c r="AD15" s="10" t="inlineStr">
        <is>
          <t>Done</t>
        </is>
      </c>
    </row>
    <row r="16" ht="18" customHeight="1">
      <c r="A16" s="11" t="n"/>
      <c r="B16" s="7" t="n"/>
      <c r="C16" s="7" t="n"/>
      <c r="D16" s="7" t="n"/>
      <c r="E16" s="7" t="n"/>
      <c r="F16" s="12" t="n">
        <v>0</v>
      </c>
      <c r="G16" s="11" t="n"/>
      <c r="H16" s="7" t="n"/>
      <c r="I16" s="7" t="n"/>
      <c r="J16" s="7" t="n"/>
      <c r="K16" s="7" t="n"/>
      <c r="L16" s="12" t="n">
        <v>0</v>
      </c>
      <c r="M16" s="11" t="n"/>
      <c r="N16" s="7" t="n"/>
      <c r="O16" s="7" t="n"/>
      <c r="P16" s="7" t="n"/>
      <c r="Q16" s="7" t="n"/>
      <c r="R16" s="12" t="n">
        <v>0</v>
      </c>
      <c r="S16" s="11" t="n"/>
      <c r="T16" s="7" t="n"/>
      <c r="U16" s="7" t="n"/>
      <c r="V16" s="7" t="n"/>
      <c r="W16" s="7" t="n"/>
      <c r="X16" s="12" t="n">
        <v>0</v>
      </c>
      <c r="Y16" s="11" t="n"/>
      <c r="Z16" s="7" t="n"/>
      <c r="AA16" s="7" t="n"/>
      <c r="AB16" s="7" t="n"/>
      <c r="AC16" s="7" t="n"/>
      <c r="AD16" s="12" t="n">
        <v>0</v>
      </c>
    </row>
    <row r="17" ht="18" customHeight="1">
      <c r="A17" s="11" t="n"/>
      <c r="B17" s="7" t="n"/>
      <c r="C17" s="7" t="n"/>
      <c r="D17" s="7" t="n"/>
      <c r="E17" s="7" t="n"/>
      <c r="F17" s="12" t="n">
        <v>0</v>
      </c>
      <c r="G17" s="11" t="n"/>
      <c r="H17" s="7" t="n"/>
      <c r="I17" s="7" t="n"/>
      <c r="J17" s="7" t="n"/>
      <c r="K17" s="7" t="n"/>
      <c r="L17" s="12" t="n">
        <v>0</v>
      </c>
      <c r="M17" s="11" t="n"/>
      <c r="N17" s="7" t="n"/>
      <c r="O17" s="7" t="n"/>
      <c r="P17" s="7" t="n"/>
      <c r="Q17" s="7" t="n"/>
      <c r="R17" s="12" t="n">
        <v>0</v>
      </c>
      <c r="S17" s="11" t="n"/>
      <c r="T17" s="7" t="n"/>
      <c r="U17" s="7" t="n"/>
      <c r="V17" s="7" t="n"/>
      <c r="W17" s="7" t="n"/>
      <c r="X17" s="12" t="n">
        <v>0</v>
      </c>
      <c r="Y17" s="11" t="n"/>
      <c r="Z17" s="7" t="n"/>
      <c r="AA17" s="7" t="n"/>
      <c r="AB17" s="7" t="n"/>
      <c r="AC17" s="7" t="n"/>
      <c r="AD17" s="12" t="n">
        <v>0</v>
      </c>
    </row>
    <row r="18" ht="18" customHeight="1">
      <c r="A18" s="11" t="n"/>
      <c r="B18" s="7" t="n"/>
      <c r="C18" s="7" t="n"/>
      <c r="D18" s="7" t="n"/>
      <c r="E18" s="7" t="n"/>
      <c r="F18" s="12" t="n">
        <v>0</v>
      </c>
      <c r="G18" s="11" t="n"/>
      <c r="H18" s="7" t="n"/>
      <c r="I18" s="7" t="n"/>
      <c r="J18" s="7" t="n"/>
      <c r="K18" s="7" t="n"/>
      <c r="L18" s="12" t="n">
        <v>0</v>
      </c>
      <c r="M18" s="11" t="n"/>
      <c r="N18" s="7" t="n"/>
      <c r="O18" s="7" t="n"/>
      <c r="P18" s="7" t="n"/>
      <c r="Q18" s="7" t="n"/>
      <c r="R18" s="12" t="n">
        <v>0</v>
      </c>
      <c r="S18" s="11" t="n"/>
      <c r="T18" s="7" t="n"/>
      <c r="U18" s="7" t="n"/>
      <c r="V18" s="7" t="n"/>
      <c r="W18" s="7" t="n"/>
      <c r="X18" s="12" t="n">
        <v>0</v>
      </c>
      <c r="Y18" s="11" t="n"/>
      <c r="Z18" s="7" t="n"/>
      <c r="AA18" s="7" t="n"/>
      <c r="AB18" s="7" t="n"/>
      <c r="AC18" s="7" t="n"/>
      <c r="AD18" s="12" t="n">
        <v>0</v>
      </c>
    </row>
    <row r="19" ht="18" customHeight="1">
      <c r="A19" s="11" t="n"/>
      <c r="B19" s="7" t="n"/>
      <c r="C19" s="7" t="n"/>
      <c r="D19" s="7" t="n"/>
      <c r="E19" s="7" t="n"/>
      <c r="F19" s="12" t="n">
        <v>0</v>
      </c>
      <c r="G19" s="11" t="n"/>
      <c r="H19" s="7" t="n"/>
      <c r="I19" s="7" t="n"/>
      <c r="J19" s="7" t="n"/>
      <c r="K19" s="7" t="n"/>
      <c r="L19" s="12" t="n">
        <v>0</v>
      </c>
      <c r="M19" s="11" t="n"/>
      <c r="N19" s="7" t="n"/>
      <c r="O19" s="7" t="n"/>
      <c r="P19" s="7" t="n"/>
      <c r="Q19" s="7" t="n"/>
      <c r="R19" s="12" t="n">
        <v>0</v>
      </c>
      <c r="S19" s="11" t="n"/>
      <c r="T19" s="7" t="n"/>
      <c r="U19" s="7" t="n"/>
      <c r="V19" s="7" t="n"/>
      <c r="W19" s="7" t="n"/>
      <c r="X19" s="12" t="n">
        <v>0</v>
      </c>
      <c r="Y19" s="11" t="n"/>
      <c r="Z19" s="7" t="n"/>
      <c r="AA19" s="7" t="n"/>
      <c r="AB19" s="7" t="n"/>
      <c r="AC19" s="7" t="n"/>
      <c r="AD19" s="12" t="n">
        <v>0</v>
      </c>
    </row>
    <row r="20" ht="18" customHeight="1">
      <c r="A20" s="11" t="n"/>
      <c r="B20" s="7" t="n"/>
      <c r="C20" s="7" t="n"/>
      <c r="D20" s="7" t="n"/>
      <c r="E20" s="7" t="n"/>
      <c r="F20" s="12" t="n">
        <v>0</v>
      </c>
      <c r="G20" s="11" t="n"/>
      <c r="H20" s="7" t="n"/>
      <c r="I20" s="7" t="n"/>
      <c r="J20" s="7" t="n"/>
      <c r="K20" s="7" t="n"/>
      <c r="L20" s="12" t="n">
        <v>0</v>
      </c>
      <c r="M20" s="11" t="n"/>
      <c r="N20" s="7" t="n"/>
      <c r="O20" s="7" t="n"/>
      <c r="P20" s="7" t="n"/>
      <c r="Q20" s="7" t="n"/>
      <c r="R20" s="12" t="n">
        <v>0</v>
      </c>
      <c r="S20" s="11" t="n"/>
      <c r="T20" s="7" t="n"/>
      <c r="U20" s="7" t="n"/>
      <c r="V20" s="7" t="n"/>
      <c r="W20" s="7" t="n"/>
      <c r="X20" s="12" t="n">
        <v>0</v>
      </c>
      <c r="Y20" s="11" t="n"/>
      <c r="Z20" s="7" t="n"/>
      <c r="AA20" s="7" t="n"/>
      <c r="AB20" s="7" t="n"/>
      <c r="AC20" s="7" t="n"/>
      <c r="AD20" s="12" t="n">
        <v>0</v>
      </c>
    </row>
    <row r="21" ht="18" customHeight="1">
      <c r="A21" s="11" t="n"/>
      <c r="B21" s="7" t="n"/>
      <c r="C21" s="7" t="n"/>
      <c r="D21" s="7" t="n"/>
      <c r="E21" s="7" t="n"/>
      <c r="F21" s="12" t="n">
        <v>0</v>
      </c>
      <c r="G21" s="11" t="n"/>
      <c r="H21" s="7" t="n"/>
      <c r="I21" s="7" t="n"/>
      <c r="J21" s="7" t="n"/>
      <c r="K21" s="7" t="n"/>
      <c r="L21" s="12" t="n">
        <v>0</v>
      </c>
      <c r="M21" s="11" t="n"/>
      <c r="N21" s="7" t="n"/>
      <c r="O21" s="7" t="n"/>
      <c r="P21" s="7" t="n"/>
      <c r="Q21" s="7" t="n"/>
      <c r="R21" s="12" t="n">
        <v>0</v>
      </c>
      <c r="S21" s="11" t="n"/>
      <c r="T21" s="7" t="n"/>
      <c r="U21" s="7" t="n"/>
      <c r="V21" s="7" t="n"/>
      <c r="W21" s="7" t="n"/>
      <c r="X21" s="12" t="n">
        <v>0</v>
      </c>
      <c r="Y21" s="11" t="n"/>
      <c r="Z21" s="7" t="n"/>
      <c r="AA21" s="7" t="n"/>
      <c r="AB21" s="7" t="n"/>
      <c r="AC21" s="7" t="n"/>
      <c r="AD21" s="12" t="n">
        <v>0</v>
      </c>
    </row>
    <row r="22" ht="18" customHeight="1">
      <c r="A22" s="11" t="n"/>
      <c r="B22" s="7" t="n"/>
      <c r="C22" s="7" t="n"/>
      <c r="D22" s="7" t="n"/>
      <c r="E22" s="7" t="n"/>
      <c r="F22" s="12" t="n">
        <v>0</v>
      </c>
      <c r="G22" s="11" t="n"/>
      <c r="H22" s="7" t="n"/>
      <c r="I22" s="7" t="n"/>
      <c r="J22" s="7" t="n"/>
      <c r="K22" s="7" t="n"/>
      <c r="L22" s="12" t="n">
        <v>0</v>
      </c>
      <c r="M22" s="11" t="n"/>
      <c r="N22" s="7" t="n"/>
      <c r="O22" s="7" t="n"/>
      <c r="P22" s="7" t="n"/>
      <c r="Q22" s="7" t="n"/>
      <c r="R22" s="12" t="n">
        <v>0</v>
      </c>
      <c r="S22" s="11" t="n"/>
      <c r="T22" s="7" t="n"/>
      <c r="U22" s="7" t="n"/>
      <c r="V22" s="7" t="n"/>
      <c r="W22" s="7" t="n"/>
      <c r="X22" s="12" t="n">
        <v>0</v>
      </c>
      <c r="Y22" s="11" t="n"/>
      <c r="Z22" s="7" t="n"/>
      <c r="AA22" s="7" t="n"/>
      <c r="AB22" s="7" t="n"/>
      <c r="AC22" s="7" t="n"/>
      <c r="AD22" s="12" t="n">
        <v>0</v>
      </c>
    </row>
    <row r="23" ht="18" customHeight="1">
      <c r="A23" s="11" t="n"/>
      <c r="B23" s="7" t="n"/>
      <c r="C23" s="7" t="n"/>
      <c r="D23" s="7" t="n"/>
      <c r="E23" s="7" t="n"/>
      <c r="F23" s="12" t="n">
        <v>0</v>
      </c>
      <c r="G23" s="11" t="n"/>
      <c r="H23" s="7" t="n"/>
      <c r="I23" s="7" t="n"/>
      <c r="J23" s="7" t="n"/>
      <c r="K23" s="7" t="n"/>
      <c r="L23" s="12" t="n">
        <v>0</v>
      </c>
      <c r="M23" s="11" t="n"/>
      <c r="N23" s="7" t="n"/>
      <c r="O23" s="7" t="n"/>
      <c r="P23" s="7" t="n"/>
      <c r="Q23" s="7" t="n"/>
      <c r="R23" s="12" t="n">
        <v>0</v>
      </c>
      <c r="S23" s="11" t="n"/>
      <c r="T23" s="7" t="n"/>
      <c r="U23" s="7" t="n"/>
      <c r="V23" s="7" t="n"/>
      <c r="W23" s="7" t="n"/>
      <c r="X23" s="12" t="n">
        <v>0</v>
      </c>
      <c r="Y23" s="11" t="n"/>
      <c r="Z23" s="7" t="n"/>
      <c r="AA23" s="7" t="n"/>
      <c r="AB23" s="7" t="n"/>
      <c r="AC23" s="7" t="n"/>
      <c r="AD23" s="12" t="n">
        <v>0</v>
      </c>
    </row>
    <row r="24" ht="18" customHeight="1">
      <c r="A24" s="11" t="n"/>
      <c r="B24" s="7" t="n"/>
      <c r="C24" s="7" t="n"/>
      <c r="D24" s="7" t="n"/>
      <c r="E24" s="7" t="n"/>
      <c r="F24" s="12" t="n">
        <v>0</v>
      </c>
      <c r="G24" s="11" t="n"/>
      <c r="H24" s="7" t="n"/>
      <c r="I24" s="7" t="n"/>
      <c r="J24" s="7" t="n"/>
      <c r="K24" s="7" t="n"/>
      <c r="L24" s="12" t="n">
        <v>0</v>
      </c>
      <c r="M24" s="11" t="n"/>
      <c r="N24" s="7" t="n"/>
      <c r="O24" s="7" t="n"/>
      <c r="P24" s="7" t="n"/>
      <c r="Q24" s="7" t="n"/>
      <c r="R24" s="12" t="n">
        <v>0</v>
      </c>
      <c r="S24" s="11" t="n"/>
      <c r="T24" s="7" t="n"/>
      <c r="U24" s="7" t="n"/>
      <c r="V24" s="7" t="n"/>
      <c r="W24" s="7" t="n"/>
      <c r="X24" s="12" t="n">
        <v>0</v>
      </c>
      <c r="Y24" s="11" t="n"/>
      <c r="Z24" s="7" t="n"/>
      <c r="AA24" s="7" t="n"/>
      <c r="AB24" s="7" t="n"/>
      <c r="AC24" s="7" t="n"/>
      <c r="AD24" s="12" t="n">
        <v>0</v>
      </c>
    </row>
    <row r="25" ht="18" customHeight="1">
      <c r="A25" s="11" t="n"/>
      <c r="B25" s="7" t="n"/>
      <c r="C25" s="7" t="n"/>
      <c r="D25" s="7" t="n"/>
      <c r="E25" s="7" t="n"/>
      <c r="F25" s="12" t="n">
        <v>0</v>
      </c>
      <c r="G25" s="11" t="n"/>
      <c r="H25" s="7" t="n"/>
      <c r="I25" s="7" t="n"/>
      <c r="J25" s="7" t="n"/>
      <c r="K25" s="7" t="n"/>
      <c r="L25" s="12" t="n">
        <v>0</v>
      </c>
      <c r="M25" s="11" t="n"/>
      <c r="N25" s="7" t="n"/>
      <c r="O25" s="7" t="n"/>
      <c r="P25" s="7" t="n"/>
      <c r="Q25" s="7" t="n"/>
      <c r="R25" s="12" t="n">
        <v>0</v>
      </c>
      <c r="S25" s="11" t="n"/>
      <c r="T25" s="7" t="n"/>
      <c r="U25" s="7" t="n"/>
      <c r="V25" s="7" t="n"/>
      <c r="W25" s="7" t="n"/>
      <c r="X25" s="12" t="n">
        <v>0</v>
      </c>
      <c r="Y25" s="11" t="n"/>
      <c r="Z25" s="7" t="n"/>
      <c r="AA25" s="7" t="n"/>
      <c r="AB25" s="7" t="n"/>
      <c r="AC25" s="7" t="n"/>
      <c r="AD25" s="12" t="n">
        <v>0</v>
      </c>
    </row>
    <row r="26" ht="18" customHeight="1">
      <c r="A26" s="11" t="n"/>
      <c r="B26" s="7" t="n"/>
      <c r="C26" s="7" t="n"/>
      <c r="D26" s="7" t="n"/>
      <c r="E26" s="7" t="n"/>
      <c r="F26" s="12" t="n">
        <v>0</v>
      </c>
      <c r="G26" s="11" t="n"/>
      <c r="H26" s="7" t="n"/>
      <c r="I26" s="7" t="n"/>
      <c r="J26" s="7" t="n"/>
      <c r="K26" s="7" t="n"/>
      <c r="L26" s="12" t="n">
        <v>0</v>
      </c>
      <c r="M26" s="11" t="n"/>
      <c r="N26" s="7" t="n"/>
      <c r="O26" s="7" t="n"/>
      <c r="P26" s="7" t="n"/>
      <c r="Q26" s="7" t="n"/>
      <c r="R26" s="12" t="n">
        <v>0</v>
      </c>
      <c r="S26" s="11" t="n"/>
      <c r="T26" s="7" t="n"/>
      <c r="U26" s="7" t="n"/>
      <c r="V26" s="7" t="n"/>
      <c r="W26" s="7" t="n"/>
      <c r="X26" s="12" t="n">
        <v>0</v>
      </c>
      <c r="Y26" s="11" t="n"/>
      <c r="Z26" s="7" t="n"/>
      <c r="AA26" s="7" t="n"/>
      <c r="AB26" s="7" t="n"/>
      <c r="AC26" s="7" t="n"/>
      <c r="AD26" s="12" t="n">
        <v>0</v>
      </c>
    </row>
    <row r="27">
      <c r="A27" s="11" t="n"/>
      <c r="B27" s="7" t="n"/>
      <c r="C27" s="7" t="n"/>
      <c r="D27" s="7" t="n"/>
      <c r="E27" s="7" t="n"/>
      <c r="F27" s="12" t="n">
        <v>0</v>
      </c>
      <c r="G27" s="11" t="n"/>
      <c r="H27" s="7" t="n"/>
      <c r="I27" s="7" t="n"/>
      <c r="J27" s="7" t="n"/>
      <c r="K27" s="7" t="n"/>
      <c r="L27" s="12" t="n">
        <v>0</v>
      </c>
      <c r="M27" s="11" t="n"/>
      <c r="N27" s="7" t="n"/>
      <c r="O27" s="7" t="n"/>
      <c r="P27" s="7" t="n"/>
      <c r="Q27" s="7" t="n"/>
      <c r="R27" s="12" t="n">
        <v>0</v>
      </c>
      <c r="S27" s="11" t="n"/>
      <c r="T27" s="7" t="n"/>
      <c r="U27" s="7" t="n"/>
      <c r="V27" s="7" t="n"/>
      <c r="W27" s="7" t="n"/>
      <c r="X27" s="12" t="n">
        <v>0</v>
      </c>
      <c r="Y27" s="11" t="n"/>
      <c r="Z27" s="7" t="n"/>
      <c r="AA27" s="7" t="n"/>
      <c r="AB27" s="7" t="n"/>
      <c r="AC27" s="7" t="n"/>
      <c r="AD27" s="12" t="n">
        <v>0</v>
      </c>
    </row>
    <row r="28" ht="18" customHeight="1">
      <c r="A28" s="13" t="inlineStr">
        <is>
          <t>Completed</t>
        </is>
      </c>
      <c r="B28" s="7" t="n"/>
      <c r="C28" s="7" t="n"/>
      <c r="D28" s="7" t="n"/>
      <c r="E28" s="7" t="n"/>
      <c r="F28" s="13">
        <f>AO3</f>
        <v/>
      </c>
      <c r="G28" s="13" t="inlineStr">
        <is>
          <t>Completed</t>
        </is>
      </c>
      <c r="H28" s="7" t="n"/>
      <c r="I28" s="7" t="n"/>
      <c r="J28" s="7" t="n"/>
      <c r="K28" s="7" t="n"/>
      <c r="L28" s="13">
        <f>AT3</f>
        <v/>
      </c>
      <c r="M28" s="13" t="inlineStr">
        <is>
          <t>Completed</t>
        </is>
      </c>
      <c r="N28" s="7" t="n"/>
      <c r="O28" s="7" t="n"/>
      <c r="P28" s="7" t="n"/>
      <c r="Q28" s="7" t="n"/>
      <c r="R28" s="13">
        <f>AY3</f>
        <v/>
      </c>
      <c r="S28" s="13" t="inlineStr">
        <is>
          <t>Completed</t>
        </is>
      </c>
      <c r="T28" s="7" t="n"/>
      <c r="U28" s="7" t="n"/>
      <c r="V28" s="7" t="n"/>
      <c r="W28" s="7" t="n"/>
      <c r="X28" s="13">
        <f>BD3</f>
        <v/>
      </c>
      <c r="Y28" s="13" t="inlineStr">
        <is>
          <t>Completed</t>
        </is>
      </c>
      <c r="Z28" s="7" t="n"/>
      <c r="AA28" s="7" t="n"/>
      <c r="AB28" s="7" t="n"/>
      <c r="AC28" s="7" t="n"/>
      <c r="AD28" s="13">
        <f>BI3</f>
        <v/>
      </c>
    </row>
    <row r="29" ht="18" customHeight="1">
      <c r="A29" s="14" t="inlineStr">
        <is>
          <t>Not Completed</t>
        </is>
      </c>
      <c r="B29" s="7" t="n"/>
      <c r="C29" s="7" t="n"/>
      <c r="D29" s="7" t="n"/>
      <c r="E29" s="7" t="n"/>
      <c r="F29" s="14">
        <f>AP3</f>
        <v/>
      </c>
      <c r="G29" s="14" t="inlineStr">
        <is>
          <t>Not Completed</t>
        </is>
      </c>
      <c r="H29" s="7" t="n"/>
      <c r="I29" s="7" t="n"/>
      <c r="J29" s="7" t="n"/>
      <c r="K29" s="7" t="n"/>
      <c r="L29" s="14">
        <f>AU3</f>
        <v/>
      </c>
      <c r="M29" s="14" t="inlineStr">
        <is>
          <t>Not Completed</t>
        </is>
      </c>
      <c r="N29" s="7" t="n"/>
      <c r="O29" s="7" t="n"/>
      <c r="P29" s="7" t="n"/>
      <c r="Q29" s="7" t="n"/>
      <c r="R29" s="14">
        <f>AZ3</f>
        <v/>
      </c>
      <c r="S29" s="14" t="inlineStr">
        <is>
          <t>Not Completed</t>
        </is>
      </c>
      <c r="T29" s="7" t="n"/>
      <c r="U29" s="7" t="n"/>
      <c r="V29" s="7" t="n"/>
      <c r="W29" s="7" t="n"/>
      <c r="X29" s="14">
        <f>BE3</f>
        <v/>
      </c>
      <c r="Y29" s="14" t="inlineStr">
        <is>
          <t>Not Completed</t>
        </is>
      </c>
      <c r="Z29" s="7" t="n"/>
      <c r="AA29" s="7" t="n"/>
      <c r="AB29" s="7" t="n"/>
      <c r="AC29" s="7" t="n"/>
      <c r="AD29" s="14">
        <f>BJ3</f>
        <v/>
      </c>
    </row>
  </sheetData>
  <mergeCells count="90">
    <mergeCell ref="Y5:AD5"/>
    <mergeCell ref="G6:L6"/>
    <mergeCell ref="M6:R6"/>
    <mergeCell ref="G5:L5"/>
    <mergeCell ref="Y6:AD6"/>
    <mergeCell ref="A5:F5"/>
    <mergeCell ref="S23:W23"/>
    <mergeCell ref="A21:E21"/>
    <mergeCell ref="Y26:AC26"/>
    <mergeCell ref="A26:E26"/>
    <mergeCell ref="G15:K15"/>
    <mergeCell ref="M21:Q21"/>
    <mergeCell ref="G24:K24"/>
    <mergeCell ref="S15:W15"/>
    <mergeCell ref="A23:E23"/>
    <mergeCell ref="S24:W24"/>
    <mergeCell ref="M27:Q27"/>
    <mergeCell ref="G26:K26"/>
    <mergeCell ref="M24:Q24"/>
    <mergeCell ref="G16:K16"/>
    <mergeCell ref="G25:K25"/>
    <mergeCell ref="S25:W25"/>
    <mergeCell ref="S17:W17"/>
    <mergeCell ref="M20:Q20"/>
    <mergeCell ref="Y20:AC20"/>
    <mergeCell ref="G28:K28"/>
    <mergeCell ref="Y29:AC29"/>
    <mergeCell ref="M22:Q22"/>
    <mergeCell ref="S28:W28"/>
    <mergeCell ref="H8:K10"/>
    <mergeCell ref="S5:X5"/>
    <mergeCell ref="Y22:AC22"/>
    <mergeCell ref="M15:Q15"/>
    <mergeCell ref="Y28:AC28"/>
    <mergeCell ref="M26:Q26"/>
    <mergeCell ref="A29:E29"/>
    <mergeCell ref="M29:Q29"/>
    <mergeCell ref="M23:Q23"/>
    <mergeCell ref="Y23:AC23"/>
    <mergeCell ref="S26:W26"/>
    <mergeCell ref="A24:E24"/>
    <mergeCell ref="S16:W16"/>
    <mergeCell ref="G27:K27"/>
    <mergeCell ref="S18:W18"/>
    <mergeCell ref="S27:W27"/>
    <mergeCell ref="G17:K17"/>
    <mergeCell ref="A16:E16"/>
    <mergeCell ref="A25:E25"/>
    <mergeCell ref="G19:K19"/>
    <mergeCell ref="Y19:AC19"/>
    <mergeCell ref="A18:E18"/>
    <mergeCell ref="Y17:AC17"/>
    <mergeCell ref="Y25:AC25"/>
    <mergeCell ref="B8:E10"/>
    <mergeCell ref="M28:Q28"/>
    <mergeCell ref="A22:E22"/>
    <mergeCell ref="G29:K29"/>
    <mergeCell ref="A20:E20"/>
    <mergeCell ref="S20:W20"/>
    <mergeCell ref="M5:R5"/>
    <mergeCell ref="A28:E28"/>
    <mergeCell ref="S29:W29"/>
    <mergeCell ref="T8:W10"/>
    <mergeCell ref="S22:W22"/>
    <mergeCell ref="G21:K21"/>
    <mergeCell ref="Z8:AC10"/>
    <mergeCell ref="A15:E15"/>
    <mergeCell ref="S21:W21"/>
    <mergeCell ref="Y15:AC15"/>
    <mergeCell ref="G23:K23"/>
    <mergeCell ref="Y24:AC24"/>
    <mergeCell ref="S6:X6"/>
    <mergeCell ref="Y21:AC21"/>
    <mergeCell ref="A27:E27"/>
    <mergeCell ref="G18:K18"/>
    <mergeCell ref="M16:Q16"/>
    <mergeCell ref="M25:Q25"/>
    <mergeCell ref="Y16:AC16"/>
    <mergeCell ref="S19:W19"/>
    <mergeCell ref="M18:Q18"/>
    <mergeCell ref="Y27:AC27"/>
    <mergeCell ref="A17:E17"/>
    <mergeCell ref="Y18:AC18"/>
    <mergeCell ref="M17:Q17"/>
    <mergeCell ref="G20:K20"/>
    <mergeCell ref="N8:Q10"/>
    <mergeCell ref="A19:E19"/>
    <mergeCell ref="A6:F6"/>
    <mergeCell ref="M19:Q19"/>
    <mergeCell ref="G22:K22"/>
  </mergeCells>
  <conditionalFormatting sqref="F16:F27">
    <cfRule type="cellIs" priority="1" operator="equal" dxfId="0">
      <formula>1</formula>
    </cfRule>
  </conditionalFormatting>
  <conditionalFormatting sqref="L16:L27">
    <cfRule type="cellIs" priority="2" operator="equal" dxfId="0">
      <formula>1</formula>
    </cfRule>
  </conditionalFormatting>
  <conditionalFormatting sqref="R16:R27">
    <cfRule type="cellIs" priority="3" operator="equal" dxfId="0">
      <formula>1</formula>
    </cfRule>
  </conditionalFormatting>
  <conditionalFormatting sqref="X16:X27">
    <cfRule type="cellIs" priority="4" operator="equal" dxfId="0">
      <formula>1</formula>
    </cfRule>
  </conditionalFormatting>
  <conditionalFormatting sqref="AD16:AD27">
    <cfRule type="cellIs" priority="5" operator="equal" dxfId="0">
      <formula>1</formula>
    </cfRule>
  </conditionalFormatting>
  <dataValidations count="1">
    <dataValidation sqref="F16:F27 L16:L27 R16:R27 X16:X27 AD16:AD27" showDropDown="1" showInputMessage="0" showErrorMessage="0" allowBlank="1" type="list">
      <formula1>0,1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</cols>
  <sheetData>
    <row r="1">
      <c r="A1" s="1" t="inlineStr">
        <is>
          <t>Monthly Habits</t>
        </is>
      </c>
      <c r="D1" s="2" t="inlineStr">
        <is>
          <t>Number of habits</t>
        </is>
      </c>
      <c r="F1" s="2" t="inlineStr">
        <is>
          <t>Completed habits</t>
        </is>
      </c>
      <c r="H1" s="2" t="inlineStr">
        <is>
          <t>Progress</t>
        </is>
      </c>
    </row>
    <row r="2">
      <c r="D2" s="15">
        <f>COUNTA($A$9:$A$18)</f>
        <v/>
      </c>
      <c r="F2" s="15">
        <f>SUM($B$9:$AF$18)</f>
        <v/>
      </c>
      <c r="H2" s="16">
        <f>IFERROR($F$2/(D2*DAY(EOMONTH($B$3,0))),0)</f>
        <v/>
      </c>
    </row>
    <row r="3">
      <c r="A3" s="2" t="inlineStr">
        <is>
          <t>Month start date (1st):</t>
        </is>
      </c>
      <c r="B3" s="3" t="n">
        <v>45962</v>
      </c>
      <c r="D3" s="4" t="inlineStr">
        <is>
          <t>Mark completion as 1 (dropdown). It will display ☑ and turn green.</t>
        </is>
      </c>
    </row>
    <row r="4">
      <c r="A4" s="17">
        <f>TEXT($B$3,"mmmm")</f>
        <v/>
      </c>
    </row>
    <row r="6" ht="18" customHeight="1">
      <c r="A6" s="18" t="inlineStr">
        <is>
          <t>My Habits</t>
        </is>
      </c>
      <c r="B6" s="18" t="inlineStr">
        <is>
          <t>Week 1</t>
        </is>
      </c>
      <c r="C6" s="7" t="n"/>
      <c r="D6" s="7" t="n"/>
      <c r="E6" s="7" t="n"/>
      <c r="F6" s="7" t="n"/>
      <c r="G6" s="7" t="n"/>
      <c r="H6" s="7" t="n"/>
      <c r="I6" s="18" t="inlineStr">
        <is>
          <t>Week 2</t>
        </is>
      </c>
      <c r="J6" s="7" t="n"/>
      <c r="K6" s="7" t="n"/>
      <c r="L6" s="7" t="n"/>
      <c r="M6" s="7" t="n"/>
      <c r="N6" s="7" t="n"/>
      <c r="O6" s="7" t="n"/>
      <c r="P6" s="18" t="inlineStr">
        <is>
          <t>Week 3</t>
        </is>
      </c>
      <c r="Q6" s="7" t="n"/>
      <c r="R6" s="7" t="n"/>
      <c r="S6" s="7" t="n"/>
      <c r="T6" s="7" t="n"/>
      <c r="U6" s="7" t="n"/>
      <c r="V6" s="7" t="n"/>
      <c r="W6" s="18" t="inlineStr">
        <is>
          <t>Week 4</t>
        </is>
      </c>
      <c r="X6" s="7" t="n"/>
      <c r="Y6" s="7" t="n"/>
      <c r="Z6" s="7" t="n"/>
      <c r="AA6" s="7" t="n"/>
      <c r="AB6" s="7" t="n"/>
      <c r="AC6" s="7" t="n"/>
      <c r="AD6" s="18" t="inlineStr">
        <is>
          <t>Week 5</t>
        </is>
      </c>
      <c r="AE6" s="7" t="n"/>
      <c r="AF6" s="7" t="n"/>
    </row>
    <row r="7" ht="18" customHeight="1">
      <c r="A7" s="7" t="n"/>
      <c r="B7" s="18">
        <f>LEFT(TEXT(=$B$3+0,"ddd"),2)</f>
        <v/>
      </c>
      <c r="C7" s="18">
        <f>LEFT(TEXT(=$B$3+1,"ddd"),2)</f>
        <v/>
      </c>
      <c r="D7" s="18">
        <f>LEFT(TEXT(=$B$3+2,"ddd"),2)</f>
        <v/>
      </c>
      <c r="E7" s="18">
        <f>LEFT(TEXT(=$B$3+3,"ddd"),2)</f>
        <v/>
      </c>
      <c r="F7" s="18">
        <f>LEFT(TEXT(=$B$3+4,"ddd"),2)</f>
        <v/>
      </c>
      <c r="G7" s="18">
        <f>LEFT(TEXT(=$B$3+5,"ddd"),2)</f>
        <v/>
      </c>
      <c r="H7" s="18">
        <f>LEFT(TEXT(=$B$3+6,"ddd"),2)</f>
        <v/>
      </c>
      <c r="I7" s="18">
        <f>LEFT(TEXT(=$B$3+7,"ddd"),2)</f>
        <v/>
      </c>
      <c r="J7" s="18">
        <f>LEFT(TEXT(=$B$3+8,"ddd"),2)</f>
        <v/>
      </c>
      <c r="K7" s="18">
        <f>LEFT(TEXT(=$B$3+9,"ddd"),2)</f>
        <v/>
      </c>
      <c r="L7" s="18">
        <f>LEFT(TEXT(=$B$3+10,"ddd"),2)</f>
        <v/>
      </c>
      <c r="M7" s="18">
        <f>LEFT(TEXT(=$B$3+11,"ddd"),2)</f>
        <v/>
      </c>
      <c r="N7" s="18">
        <f>LEFT(TEXT(=$B$3+12,"ddd"),2)</f>
        <v/>
      </c>
      <c r="O7" s="18">
        <f>LEFT(TEXT(=$B$3+13,"ddd"),2)</f>
        <v/>
      </c>
      <c r="P7" s="18">
        <f>LEFT(TEXT(=$B$3+14,"ddd"),2)</f>
        <v/>
      </c>
      <c r="Q7" s="18">
        <f>LEFT(TEXT(=$B$3+15,"ddd"),2)</f>
        <v/>
      </c>
      <c r="R7" s="18">
        <f>LEFT(TEXT(=$B$3+16,"ddd"),2)</f>
        <v/>
      </c>
      <c r="S7" s="18">
        <f>LEFT(TEXT(=$B$3+17,"ddd"),2)</f>
        <v/>
      </c>
      <c r="T7" s="18">
        <f>LEFT(TEXT(=$B$3+18,"ddd"),2)</f>
        <v/>
      </c>
      <c r="U7" s="18">
        <f>LEFT(TEXT(=$B$3+19,"ddd"),2)</f>
        <v/>
      </c>
      <c r="V7" s="18">
        <f>LEFT(TEXT(=$B$3+20,"ddd"),2)</f>
        <v/>
      </c>
      <c r="W7" s="18">
        <f>LEFT(TEXT(=$B$3+21,"ddd"),2)</f>
        <v/>
      </c>
      <c r="X7" s="18">
        <f>LEFT(TEXT(=$B$3+22,"ddd"),2)</f>
        <v/>
      </c>
      <c r="Y7" s="18">
        <f>IF(MONTH($B$3+0)=MONTH($B$3),LEFT(TEXT($B$3+0,"ddd"),2),"")</f>
        <v/>
      </c>
      <c r="Z7" s="18">
        <f>IF(MONTH($B$3+1)=MONTH($B$3),LEFT(TEXT($B$3+1,"ddd"),2),"")</f>
        <v/>
      </c>
      <c r="AA7" s="18">
        <f>IF(MONTH($B$3+2)=MONTH($B$3),LEFT(TEXT($B$3+2,"ddd"),2),"")</f>
        <v/>
      </c>
      <c r="AB7" s="18">
        <f>IF(MONTH($B$3+3)=MONTH($B$3),LEFT(TEXT($B$3+3,"ddd"),2),"")</f>
        <v/>
      </c>
      <c r="AC7" s="18">
        <f>IF(MONTH($B$3+4)=MONTH($B$3),LEFT(TEXT($B$3+4,"ddd"),2),"")</f>
        <v/>
      </c>
      <c r="AD7" s="18">
        <f>IF(MONTH($B$3+5)=MONTH($B$3),LEFT(TEXT($B$3+5,"ddd"),2),"")</f>
        <v/>
      </c>
      <c r="AE7" s="18">
        <f>IF(MONTH($B$3+6)=MONTH($B$3),LEFT(TEXT($B$3+6,"ddd"),2),"")</f>
        <v/>
      </c>
      <c r="AF7" s="18">
        <f>IF(MONTH($B$3+7)=MONTH($B$3),LEFT(TEXT($B$3+7,"ddd"),2),"")</f>
        <v/>
      </c>
      <c r="AG7">
        <f>IF(MONTH($B$3+8)=MONTH($B$3),LEFT(TEXT($B$3+8,"ddd"),2),"")</f>
        <v/>
      </c>
      <c r="AH7">
        <f>IF(MONTH($B$3+9)=MONTH($B$3),LEFT(TEXT($B$3+9,"ddd"),2),"")</f>
        <v/>
      </c>
      <c r="AI7">
        <f>IF(MONTH($B$3+10)=MONTH($B$3),LEFT(TEXT($B$3+10,"ddd"),2),"")</f>
        <v/>
      </c>
      <c r="AJ7">
        <f>IF(MONTH($B$3+11)=MONTH($B$3),LEFT(TEXT($B$3+11,"ddd"),2),"")</f>
        <v/>
      </c>
      <c r="AK7">
        <f>IF(MONTH($B$3+12)=MONTH($B$3),LEFT(TEXT($B$3+12,"ddd"),2),"")</f>
        <v/>
      </c>
      <c r="AL7">
        <f>IF(MONTH($B$3+13)=MONTH($B$3),LEFT(TEXT($B$3+13,"ddd"),2),"")</f>
        <v/>
      </c>
      <c r="AM7">
        <f>IF(MONTH($B$3+14)=MONTH($B$3),LEFT(TEXT($B$3+14,"ddd"),2),"")</f>
        <v/>
      </c>
      <c r="AN7">
        <f>IF(MONTH($B$3+15)=MONTH($B$3),LEFT(TEXT($B$3+15,"ddd"),2),"")</f>
        <v/>
      </c>
      <c r="AO7">
        <f>IF(MONTH($B$3+16)=MONTH($B$3),LEFT(TEXT($B$3+16,"ddd"),2),"")</f>
        <v/>
      </c>
      <c r="AP7">
        <f>IF(MONTH($B$3+17)=MONTH($B$3),LEFT(TEXT($B$3+17,"ddd"),2),"")</f>
        <v/>
      </c>
      <c r="AQ7">
        <f>IF(MONTH($B$3+18)=MONTH($B$3),LEFT(TEXT($B$3+18,"ddd"),2),"")</f>
        <v/>
      </c>
      <c r="AR7">
        <f>IF(MONTH($B$3+19)=MONTH($B$3),LEFT(TEXT($B$3+19,"ddd"),2),"")</f>
        <v/>
      </c>
      <c r="AS7">
        <f>IF(MONTH($B$3+20)=MONTH($B$3),LEFT(TEXT($B$3+20,"ddd"),2),"")</f>
        <v/>
      </c>
      <c r="AT7">
        <f>IF(MONTH($B$3+21)=MONTH($B$3),LEFT(TEXT($B$3+21,"ddd"),2),"")</f>
        <v/>
      </c>
      <c r="AU7">
        <f>IF(MONTH($B$3+22)=MONTH($B$3),LEFT(TEXT($B$3+22,"ddd"),2),"")</f>
        <v/>
      </c>
      <c r="AV7">
        <f>IF(MONTH($B$3+23)=MONTH($B$3),LEFT(TEXT($B$3+23,"ddd"),2),"")</f>
        <v/>
      </c>
      <c r="AW7">
        <f>IF(MONTH($B$3+24)=MONTH($B$3),LEFT(TEXT($B$3+24,"ddd"),2),"")</f>
        <v/>
      </c>
      <c r="AX7">
        <f>IF(MONTH($B$3+25)=MONTH($B$3),LEFT(TEXT($B$3+25,"ddd"),2),"")</f>
        <v/>
      </c>
      <c r="AY7">
        <f>IF(MONTH($B$3+26)=MONTH($B$3),LEFT(TEXT($B$3+26,"ddd"),2),"")</f>
        <v/>
      </c>
      <c r="AZ7">
        <f>IF(MONTH($B$3+27)=MONTH($B$3),LEFT(TEXT($B$3+27,"ddd"),2),"")</f>
        <v/>
      </c>
      <c r="BA7">
        <f>IF(MONTH($B$3+28)=MONTH($B$3),LEFT(TEXT($B$3+28,"ddd"),2),"")</f>
        <v/>
      </c>
      <c r="BB7">
        <f>IF(MONTH($B$3+29)=MONTH($B$3),LEFT(TEXT($B$3+29,"ddd"),2),"")</f>
        <v/>
      </c>
      <c r="BC7">
        <f>IF(MONTH($B$3+30)=MONTH($B$3),LEFT(TEXT($B$3+30,"ddd"),2),"")</f>
        <v/>
      </c>
    </row>
    <row r="8" ht="18" customHeight="1">
      <c r="A8" s="7" t="n"/>
      <c r="B8" s="19">
        <f>DAY(=$B$3+0)</f>
        <v/>
      </c>
      <c r="C8" s="19">
        <f>DAY(=$B$3+1)</f>
        <v/>
      </c>
      <c r="D8" s="19">
        <f>DAY(=$B$3+2)</f>
        <v/>
      </c>
      <c r="E8" s="19">
        <f>DAY(=$B$3+3)</f>
        <v/>
      </c>
      <c r="F8" s="19">
        <f>DAY(=$B$3+4)</f>
        <v/>
      </c>
      <c r="G8" s="19">
        <f>DAY(=$B$3+5)</f>
        <v/>
      </c>
      <c r="H8" s="19">
        <f>DAY(=$B$3+6)</f>
        <v/>
      </c>
      <c r="I8" s="19">
        <f>DAY(=$B$3+7)</f>
        <v/>
      </c>
      <c r="J8" s="19">
        <f>DAY(=$B$3+8)</f>
        <v/>
      </c>
      <c r="K8" s="19">
        <f>DAY(=$B$3+9)</f>
        <v/>
      </c>
      <c r="L8" s="19">
        <f>DAY(=$B$3+10)</f>
        <v/>
      </c>
      <c r="M8" s="19">
        <f>DAY(=$B$3+11)</f>
        <v/>
      </c>
      <c r="N8" s="19">
        <f>DAY(=$B$3+12)</f>
        <v/>
      </c>
      <c r="O8" s="19">
        <f>DAY(=$B$3+13)</f>
        <v/>
      </c>
      <c r="P8" s="19">
        <f>DAY(=$B$3+14)</f>
        <v/>
      </c>
      <c r="Q8" s="19">
        <f>DAY(=$B$3+15)</f>
        <v/>
      </c>
      <c r="R8" s="19">
        <f>DAY(=$B$3+16)</f>
        <v/>
      </c>
      <c r="S8" s="19">
        <f>DAY(=$B$3+17)</f>
        <v/>
      </c>
      <c r="T8" s="19">
        <f>DAY(=$B$3+18)</f>
        <v/>
      </c>
      <c r="U8" s="19">
        <f>DAY(=$B$3+19)</f>
        <v/>
      </c>
      <c r="V8" s="19">
        <f>DAY(=$B$3+20)</f>
        <v/>
      </c>
      <c r="W8" s="19">
        <f>DAY(=$B$3+21)</f>
        <v/>
      </c>
      <c r="X8" s="19">
        <f>DAY(=$B$3+22)</f>
        <v/>
      </c>
      <c r="Y8" s="19">
        <f>IF(MONTH($B$3+0)=MONTH($B$3),DAY($B$3+0),"")</f>
        <v/>
      </c>
      <c r="Z8" s="19">
        <f>IF(MONTH($B$3+1)=MONTH($B$3),DAY($B$3+1),"")</f>
        <v/>
      </c>
      <c r="AA8" s="19">
        <f>IF(MONTH($B$3+2)=MONTH($B$3),DAY($B$3+2),"")</f>
        <v/>
      </c>
      <c r="AB8" s="19">
        <f>IF(MONTH($B$3+3)=MONTH($B$3),DAY($B$3+3),"")</f>
        <v/>
      </c>
      <c r="AC8" s="19">
        <f>IF(MONTH($B$3+4)=MONTH($B$3),DAY($B$3+4),"")</f>
        <v/>
      </c>
      <c r="AD8" s="19">
        <f>IF(MONTH($B$3+5)=MONTH($B$3),DAY($B$3+5),"")</f>
        <v/>
      </c>
      <c r="AE8" s="19">
        <f>IF(MONTH($B$3+6)=MONTH($B$3),DAY($B$3+6),"")</f>
        <v/>
      </c>
      <c r="AF8" s="19">
        <f>IF(MONTH($B$3+7)=MONTH($B$3),DAY($B$3+7),"")</f>
        <v/>
      </c>
      <c r="AG8">
        <f>IF(MONTH($B$3+8)=MONTH($B$3),DAY($B$3+8),"")</f>
        <v/>
      </c>
      <c r="AH8">
        <f>IF(MONTH($B$3+9)=MONTH($B$3),DAY($B$3+9),"")</f>
        <v/>
      </c>
      <c r="AI8">
        <f>IF(MONTH($B$3+10)=MONTH($B$3),DAY($B$3+10),"")</f>
        <v/>
      </c>
      <c r="AJ8">
        <f>IF(MONTH($B$3+11)=MONTH($B$3),DAY($B$3+11),"")</f>
        <v/>
      </c>
      <c r="AK8">
        <f>IF(MONTH($B$3+12)=MONTH($B$3),DAY($B$3+12),"")</f>
        <v/>
      </c>
      <c r="AL8">
        <f>IF(MONTH($B$3+13)=MONTH($B$3),DAY($B$3+13),"")</f>
        <v/>
      </c>
      <c r="AM8">
        <f>IF(MONTH($B$3+14)=MONTH($B$3),DAY($B$3+14),"")</f>
        <v/>
      </c>
      <c r="AN8">
        <f>IF(MONTH($B$3+15)=MONTH($B$3),DAY($B$3+15),"")</f>
        <v/>
      </c>
      <c r="AO8">
        <f>IF(MONTH($B$3+16)=MONTH($B$3),DAY($B$3+16),"")</f>
        <v/>
      </c>
      <c r="AP8">
        <f>IF(MONTH($B$3+17)=MONTH($B$3),DAY($B$3+17),"")</f>
        <v/>
      </c>
      <c r="AQ8">
        <f>IF(MONTH($B$3+18)=MONTH($B$3),DAY($B$3+18),"")</f>
        <v/>
      </c>
      <c r="AR8">
        <f>IF(MONTH($B$3+19)=MONTH($B$3),DAY($B$3+19),"")</f>
        <v/>
      </c>
      <c r="AS8">
        <f>IF(MONTH($B$3+20)=MONTH($B$3),DAY($B$3+20),"")</f>
        <v/>
      </c>
      <c r="AT8">
        <f>IF(MONTH($B$3+21)=MONTH($B$3),DAY($B$3+21),"")</f>
        <v/>
      </c>
      <c r="AU8">
        <f>IF(MONTH($B$3+22)=MONTH($B$3),DAY($B$3+22),"")</f>
        <v/>
      </c>
      <c r="AV8">
        <f>IF(MONTH($B$3+23)=MONTH($B$3),DAY($B$3+23),"")</f>
        <v/>
      </c>
      <c r="AW8">
        <f>IF(MONTH($B$3+24)=MONTH($B$3),DAY($B$3+24),"")</f>
        <v/>
      </c>
      <c r="AX8">
        <f>IF(MONTH($B$3+25)=MONTH($B$3),DAY($B$3+25),"")</f>
        <v/>
      </c>
      <c r="AY8">
        <f>IF(MONTH($B$3+26)=MONTH($B$3),DAY($B$3+26),"")</f>
        <v/>
      </c>
      <c r="AZ8">
        <f>IF(MONTH($B$3+27)=MONTH($B$3),DAY($B$3+27),"")</f>
        <v/>
      </c>
      <c r="BA8">
        <f>IF(MONTH($B$3+28)=MONTH($B$3),DAY($B$3+28),"")</f>
        <v/>
      </c>
      <c r="BB8">
        <f>IF(MONTH($B$3+29)=MONTH($B$3),DAY($B$3+29),"")</f>
        <v/>
      </c>
      <c r="BC8">
        <f>IF(MONTH($B$3+30)=MONTH($B$3),DAY($B$3+30),"")</f>
        <v/>
      </c>
    </row>
    <row r="9" ht="20" customHeight="1">
      <c r="A9" s="20" t="inlineStr">
        <is>
          <t>Wake up at 05:00 ⏰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</row>
    <row r="10" ht="20" customHeight="1">
      <c r="A10" s="20" t="inlineStr">
        <is>
          <t>Gym 💪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</row>
    <row r="11" ht="20" customHeight="1">
      <c r="A11" s="20" t="inlineStr">
        <is>
          <t>Stop Watching Porn 💦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</row>
    <row r="12" ht="20" customHeight="1">
      <c r="A12" s="20" t="inlineStr">
        <is>
          <t>Reading / Learning 📖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</row>
    <row r="13" ht="20" customHeight="1">
      <c r="A13" s="20" t="inlineStr">
        <is>
          <t>Budget Tracking 💰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</row>
    <row r="14" ht="20" customHeight="1">
      <c r="A14" s="20" t="inlineStr">
        <is>
          <t>Project Work 🎯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</row>
    <row r="15" ht="20" customHeight="1">
      <c r="A15" s="20" t="inlineStr">
        <is>
          <t>No Alcohol 🍾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</row>
    <row r="16" ht="20" customHeight="1">
      <c r="A16" s="20" t="inlineStr">
        <is>
          <t>Social Media Detox 🌿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</row>
    <row r="17" ht="20" customHeight="1">
      <c r="A17" s="20" t="inlineStr">
        <is>
          <t>Goal Journaling 📝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</row>
    <row r="18" ht="20" customHeight="1">
      <c r="A18" s="20" t="inlineStr">
        <is>
          <t>Cold Shower 🚿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</row>
    <row r="20">
      <c r="A20" s="18" t="inlineStr">
        <is>
          <t>Progress</t>
        </is>
      </c>
      <c r="B20" s="21">
        <f>IFERROR(SUM(B9:B18)/$D$2,0)</f>
        <v/>
      </c>
      <c r="C20" s="21">
        <f>IFERROR(SUM(C9:C18)/$D$2,0)</f>
        <v/>
      </c>
      <c r="D20" s="21">
        <f>IFERROR(SUM(D9:D18)/$D$2,0)</f>
        <v/>
      </c>
      <c r="E20" s="21">
        <f>IFERROR(SUM(E9:E18)/$D$2,0)</f>
        <v/>
      </c>
      <c r="F20" s="21">
        <f>IFERROR(SUM(F9:F18)/$D$2,0)</f>
        <v/>
      </c>
      <c r="G20" s="21">
        <f>IFERROR(SUM(G9:G18)/$D$2,0)</f>
        <v/>
      </c>
      <c r="H20" s="21">
        <f>IFERROR(SUM(H9:H18)/$D$2,0)</f>
        <v/>
      </c>
      <c r="I20" s="21">
        <f>IFERROR(SUM(I9:I18)/$D$2,0)</f>
        <v/>
      </c>
      <c r="J20" s="21">
        <f>IFERROR(SUM(J9:J18)/$D$2,0)</f>
        <v/>
      </c>
      <c r="K20" s="21">
        <f>IFERROR(SUM(K9:K18)/$D$2,0)</f>
        <v/>
      </c>
      <c r="L20" s="21">
        <f>IFERROR(SUM(L9:L18)/$D$2,0)</f>
        <v/>
      </c>
      <c r="M20" s="21">
        <f>IFERROR(SUM(M9:M18)/$D$2,0)</f>
        <v/>
      </c>
      <c r="N20" s="21">
        <f>IFERROR(SUM(N9:N18)/$D$2,0)</f>
        <v/>
      </c>
      <c r="O20" s="21">
        <f>IFERROR(SUM(O9:O18)/$D$2,0)</f>
        <v/>
      </c>
      <c r="P20" s="21">
        <f>IFERROR(SUM(P9:P18)/$D$2,0)</f>
        <v/>
      </c>
      <c r="Q20" s="21">
        <f>IFERROR(SUM(Q9:Q18)/$D$2,0)</f>
        <v/>
      </c>
      <c r="R20" s="21">
        <f>IFERROR(SUM(R9:R18)/$D$2,0)</f>
        <v/>
      </c>
      <c r="S20" s="21">
        <f>IFERROR(SUM(S9:S18)/$D$2,0)</f>
        <v/>
      </c>
      <c r="T20" s="21">
        <f>IFERROR(SUM(T9:T18)/$D$2,0)</f>
        <v/>
      </c>
      <c r="U20" s="21">
        <f>IFERROR(SUM(U9:U18)/$D$2,0)</f>
        <v/>
      </c>
      <c r="V20" s="21">
        <f>IFERROR(SUM(V9:V18)/$D$2,0)</f>
        <v/>
      </c>
      <c r="W20" s="21">
        <f>IFERROR(SUM(W9:W18)/$D$2,0)</f>
        <v/>
      </c>
      <c r="X20" s="21">
        <f>IFERROR(SUM(X9:X18)/$D$2,0)</f>
        <v/>
      </c>
      <c r="Y20" s="21">
        <f>IF(MONTH($B$3+0)=MONTH($B$3),IFERROR(SUM(Y9:Y18)/$D$2,0),"")</f>
        <v/>
      </c>
      <c r="Z20" s="21">
        <f>IF(MONTH($B$3+1)=MONTH($B$3),IFERROR(SUM(Z9:Z18)/$D$2,0),"")</f>
        <v/>
      </c>
      <c r="AA20" s="21">
        <f>IF(MONTH($B$3+2)=MONTH($B$3),IFERROR(SUM(AA9:AA18)/$D$2,0),"")</f>
        <v/>
      </c>
      <c r="AB20" s="21">
        <f>IF(MONTH($B$3+3)=MONTH($B$3),IFERROR(SUM(AB9:AB18)/$D$2,0),"")</f>
        <v/>
      </c>
      <c r="AC20" s="21">
        <f>IF(MONTH($B$3+4)=MONTH($B$3),IFERROR(SUM(AC9:AC18)/$D$2,0),"")</f>
        <v/>
      </c>
      <c r="AD20" s="21">
        <f>IF(MONTH($B$3+5)=MONTH($B$3),IFERROR(SUM(AD9:AD18)/$D$2,0),"")</f>
        <v/>
      </c>
      <c r="AE20" s="21">
        <f>IF(MONTH($B$3+6)=MONTH($B$3),IFERROR(SUM(AE9:AE18)/$D$2,0),"")</f>
        <v/>
      </c>
      <c r="AF20" s="21">
        <f>IF(MONTH($B$3+7)=MONTH($B$3),IFERROR(SUM(AF9:AF18)/$D$2,0),"")</f>
        <v/>
      </c>
      <c r="AG20">
        <f>IF(MONTH($B$3+8)=MONTH($B$3),IFERROR(SUM(AG9:AG18)/$D$2,0),"")</f>
        <v/>
      </c>
      <c r="AH20">
        <f>IF(MONTH($B$3+9)=MONTH($B$3),IFERROR(SUM(AH9:AH18)/$D$2,0),"")</f>
        <v/>
      </c>
      <c r="AI20">
        <f>IF(MONTH($B$3+10)=MONTH($B$3),IFERROR(SUM(AI9:AI18)/$D$2,0),"")</f>
        <v/>
      </c>
      <c r="AJ20">
        <f>IF(MONTH($B$3+11)=MONTH($B$3),IFERROR(SUM(AJ9:AJ18)/$D$2,0),"")</f>
        <v/>
      </c>
      <c r="AK20">
        <f>IF(MONTH($B$3+12)=MONTH($B$3),IFERROR(SUM(AK9:AK18)/$D$2,0),"")</f>
        <v/>
      </c>
      <c r="AL20">
        <f>IF(MONTH($B$3+13)=MONTH($B$3),IFERROR(SUM(AL9:AL18)/$D$2,0),"")</f>
        <v/>
      </c>
      <c r="AM20">
        <f>IF(MONTH($B$3+14)=MONTH($B$3),IFERROR(SUM(AM9:AM18)/$D$2,0),"")</f>
        <v/>
      </c>
      <c r="AN20">
        <f>IF(MONTH($B$3+15)=MONTH($B$3),IFERROR(SUM(AN9:AN18)/$D$2,0),"")</f>
        <v/>
      </c>
      <c r="AO20">
        <f>IF(MONTH($B$3+16)=MONTH($B$3),IFERROR(SUM(AO9:AO18)/$D$2,0),"")</f>
        <v/>
      </c>
      <c r="AP20">
        <f>IF(MONTH($B$3+17)=MONTH($B$3),IFERROR(SUM(AP9:AP18)/$D$2,0),"")</f>
        <v/>
      </c>
      <c r="AQ20">
        <f>IF(MONTH($B$3+18)=MONTH($B$3),IFERROR(SUM(AQ9:AQ18)/$D$2,0),"")</f>
        <v/>
      </c>
      <c r="AR20">
        <f>IF(MONTH($B$3+19)=MONTH($B$3),IFERROR(SUM(AR9:AR18)/$D$2,0),"")</f>
        <v/>
      </c>
      <c r="AS20">
        <f>IF(MONTH($B$3+20)=MONTH($B$3),IFERROR(SUM(AS9:AS18)/$D$2,0),"")</f>
        <v/>
      </c>
      <c r="AT20">
        <f>IF(MONTH($B$3+21)=MONTH($B$3),IFERROR(SUM(AT9:AT18)/$D$2,0),"")</f>
        <v/>
      </c>
      <c r="AU20">
        <f>IF(MONTH($B$3+22)=MONTH($B$3),IFERROR(SUM(AU9:AU18)/$D$2,0),"")</f>
        <v/>
      </c>
      <c r="AV20">
        <f>IF(MONTH($B$3+23)=MONTH($B$3),IFERROR(SUM(AV9:AV18)/$D$2,0),"")</f>
        <v/>
      </c>
      <c r="AW20">
        <f>IF(MONTH($B$3+24)=MONTH($B$3),IFERROR(SUM(AW9:AW18)/$D$2,0),"")</f>
        <v/>
      </c>
      <c r="AX20">
        <f>IF(MONTH($B$3+25)=MONTH($B$3),IFERROR(SUM(AX9:AX18)/$D$2,0),"")</f>
        <v/>
      </c>
      <c r="AY20">
        <f>IF(MONTH($B$3+26)=MONTH($B$3),IFERROR(SUM(AY9:AY18)/$D$2,0),"")</f>
        <v/>
      </c>
      <c r="AZ20">
        <f>IF(MONTH($B$3+27)=MONTH($B$3),IFERROR(SUM(AZ9:AZ18)/$D$2,0),"")</f>
        <v/>
      </c>
      <c r="BA20">
        <f>IF(MONTH($B$3+28)=MONTH($B$3),IFERROR(SUM(BA9:BA18)/$D$2,0),"")</f>
        <v/>
      </c>
      <c r="BB20">
        <f>IF(MONTH($B$3+29)=MONTH($B$3),IFERROR(SUM(BB9:BB18)/$D$2,0),"")</f>
        <v/>
      </c>
      <c r="BC20">
        <f>IF(MONTH($B$3+30)=MONTH($B$3),IFERROR(SUM(BC9:BC18)/$D$2,0),"")</f>
        <v/>
      </c>
    </row>
    <row r="21">
      <c r="A21" s="18" t="inlineStr">
        <is>
          <t>Done</t>
        </is>
      </c>
      <c r="B21" s="22">
        <f>SUM(B9:B18)</f>
        <v/>
      </c>
      <c r="C21" s="22">
        <f>SUM(C9:C18)</f>
        <v/>
      </c>
      <c r="D21" s="22">
        <f>SUM(D9:D18)</f>
        <v/>
      </c>
      <c r="E21" s="22">
        <f>SUM(E9:E18)</f>
        <v/>
      </c>
      <c r="F21" s="22">
        <f>SUM(F9:F18)</f>
        <v/>
      </c>
      <c r="G21" s="22">
        <f>SUM(G9:G18)</f>
        <v/>
      </c>
      <c r="H21" s="22">
        <f>SUM(H9:H18)</f>
        <v/>
      </c>
      <c r="I21" s="22">
        <f>SUM(I9:I18)</f>
        <v/>
      </c>
      <c r="J21" s="22">
        <f>SUM(J9:J18)</f>
        <v/>
      </c>
      <c r="K21" s="22">
        <f>SUM(K9:K18)</f>
        <v/>
      </c>
      <c r="L21" s="22">
        <f>SUM(L9:L18)</f>
        <v/>
      </c>
      <c r="M21" s="22">
        <f>SUM(M9:M18)</f>
        <v/>
      </c>
      <c r="N21" s="22">
        <f>SUM(N9:N18)</f>
        <v/>
      </c>
      <c r="O21" s="22">
        <f>SUM(O9:O18)</f>
        <v/>
      </c>
      <c r="P21" s="22">
        <f>SUM(P9:P18)</f>
        <v/>
      </c>
      <c r="Q21" s="22">
        <f>SUM(Q9:Q18)</f>
        <v/>
      </c>
      <c r="R21" s="22">
        <f>SUM(R9:R18)</f>
        <v/>
      </c>
      <c r="S21" s="22">
        <f>SUM(S9:S18)</f>
        <v/>
      </c>
      <c r="T21" s="22">
        <f>SUM(T9:T18)</f>
        <v/>
      </c>
      <c r="U21" s="22">
        <f>SUM(U9:U18)</f>
        <v/>
      </c>
      <c r="V21" s="22">
        <f>SUM(V9:V18)</f>
        <v/>
      </c>
      <c r="W21" s="22">
        <f>SUM(W9:W18)</f>
        <v/>
      </c>
      <c r="X21" s="22">
        <f>SUM(X9:X18)</f>
        <v/>
      </c>
      <c r="Y21" s="22">
        <f>IF(MONTH($B$3+0)=MONTH($B$3),SUM(Y9:Y18),"")</f>
        <v/>
      </c>
      <c r="Z21" s="22">
        <f>IF(MONTH($B$3+1)=MONTH($B$3),SUM(Z9:Z18),"")</f>
        <v/>
      </c>
      <c r="AA21" s="22">
        <f>IF(MONTH($B$3+2)=MONTH($B$3),SUM(AA9:AA18),"")</f>
        <v/>
      </c>
      <c r="AB21" s="22">
        <f>IF(MONTH($B$3+3)=MONTH($B$3),SUM(AB9:AB18),"")</f>
        <v/>
      </c>
      <c r="AC21" s="22">
        <f>IF(MONTH($B$3+4)=MONTH($B$3),SUM(AC9:AC18),"")</f>
        <v/>
      </c>
      <c r="AD21" s="22">
        <f>IF(MONTH($B$3+5)=MONTH($B$3),SUM(AD9:AD18),"")</f>
        <v/>
      </c>
      <c r="AE21" s="22">
        <f>IF(MONTH($B$3+6)=MONTH($B$3),SUM(AE9:AE18),"")</f>
        <v/>
      </c>
      <c r="AF21" s="22">
        <f>IF(MONTH($B$3+7)=MONTH($B$3),SUM(AF9:AF18),"")</f>
        <v/>
      </c>
      <c r="AG21">
        <f>IF(MONTH($B$3+8)=MONTH($B$3),SUM(AG9:AG18),"")</f>
        <v/>
      </c>
      <c r="AH21">
        <f>IF(MONTH($B$3+9)=MONTH($B$3),SUM(AH9:AH18),"")</f>
        <v/>
      </c>
      <c r="AI21">
        <f>IF(MONTH($B$3+10)=MONTH($B$3),SUM(AI9:AI18),"")</f>
        <v/>
      </c>
      <c r="AJ21">
        <f>IF(MONTH($B$3+11)=MONTH($B$3),SUM(AJ9:AJ18),"")</f>
        <v/>
      </c>
      <c r="AK21">
        <f>IF(MONTH($B$3+12)=MONTH($B$3),SUM(AK9:AK18),"")</f>
        <v/>
      </c>
      <c r="AL21">
        <f>IF(MONTH($B$3+13)=MONTH($B$3),SUM(AL9:AL18),"")</f>
        <v/>
      </c>
      <c r="AM21">
        <f>IF(MONTH($B$3+14)=MONTH($B$3),SUM(AM9:AM18),"")</f>
        <v/>
      </c>
      <c r="AN21">
        <f>IF(MONTH($B$3+15)=MONTH($B$3),SUM(AN9:AN18),"")</f>
        <v/>
      </c>
      <c r="AO21">
        <f>IF(MONTH($B$3+16)=MONTH($B$3),SUM(AO9:AO18),"")</f>
        <v/>
      </c>
      <c r="AP21">
        <f>IF(MONTH($B$3+17)=MONTH($B$3),SUM(AP9:AP18),"")</f>
        <v/>
      </c>
      <c r="AQ21">
        <f>IF(MONTH($B$3+18)=MONTH($B$3),SUM(AQ9:AQ18),"")</f>
        <v/>
      </c>
      <c r="AR21">
        <f>IF(MONTH($B$3+19)=MONTH($B$3),SUM(AR9:AR18),"")</f>
        <v/>
      </c>
      <c r="AS21">
        <f>IF(MONTH($B$3+20)=MONTH($B$3),SUM(AS9:AS18),"")</f>
        <v/>
      </c>
      <c r="AT21">
        <f>IF(MONTH($B$3+21)=MONTH($B$3),SUM(AT9:AT18),"")</f>
        <v/>
      </c>
      <c r="AU21">
        <f>IF(MONTH($B$3+22)=MONTH($B$3),SUM(AU9:AU18),"")</f>
        <v/>
      </c>
      <c r="AV21">
        <f>IF(MONTH($B$3+23)=MONTH($B$3),SUM(AV9:AV18),"")</f>
        <v/>
      </c>
      <c r="AW21">
        <f>IF(MONTH($B$3+24)=MONTH($B$3),SUM(AW9:AW18),"")</f>
        <v/>
      </c>
      <c r="AX21">
        <f>IF(MONTH($B$3+25)=MONTH($B$3),SUM(AX9:AX18),"")</f>
        <v/>
      </c>
      <c r="AY21">
        <f>IF(MONTH($B$3+26)=MONTH($B$3),SUM(AY9:AY18),"")</f>
        <v/>
      </c>
      <c r="AZ21">
        <f>IF(MONTH($B$3+27)=MONTH($B$3),SUM(AZ9:AZ18),"")</f>
        <v/>
      </c>
      <c r="BA21">
        <f>IF(MONTH($B$3+28)=MONTH($B$3),SUM(BA9:BA18),"")</f>
        <v/>
      </c>
      <c r="BB21">
        <f>IF(MONTH($B$3+29)=MONTH($B$3),SUM(BB9:BB18),"")</f>
        <v/>
      </c>
      <c r="BC21">
        <f>IF(MONTH($B$3+30)=MONTH($B$3),SUM(BC9:BC18),"")</f>
        <v/>
      </c>
    </row>
    <row r="22">
      <c r="A22" s="18" t="inlineStr">
        <is>
          <t>Not Done</t>
        </is>
      </c>
      <c r="B22" s="22">
        <f>MAX(0,$D$2-SUM(B9:B18))</f>
        <v/>
      </c>
      <c r="C22" s="22">
        <f>MAX(0,$D$2-SUM(C9:C18))</f>
        <v/>
      </c>
      <c r="D22" s="22">
        <f>MAX(0,$D$2-SUM(D9:D18))</f>
        <v/>
      </c>
      <c r="E22" s="22">
        <f>MAX(0,$D$2-SUM(E9:E18))</f>
        <v/>
      </c>
      <c r="F22" s="22">
        <f>MAX(0,$D$2-SUM(F9:F18))</f>
        <v/>
      </c>
      <c r="G22" s="22">
        <f>MAX(0,$D$2-SUM(G9:G18))</f>
        <v/>
      </c>
      <c r="H22" s="22">
        <f>MAX(0,$D$2-SUM(H9:H18))</f>
        <v/>
      </c>
      <c r="I22" s="22">
        <f>MAX(0,$D$2-SUM(I9:I18))</f>
        <v/>
      </c>
      <c r="J22" s="22">
        <f>MAX(0,$D$2-SUM(J9:J18))</f>
        <v/>
      </c>
      <c r="K22" s="22">
        <f>MAX(0,$D$2-SUM(K9:K18))</f>
        <v/>
      </c>
      <c r="L22" s="22">
        <f>MAX(0,$D$2-SUM(L9:L18))</f>
        <v/>
      </c>
      <c r="M22" s="22">
        <f>MAX(0,$D$2-SUM(M9:M18))</f>
        <v/>
      </c>
      <c r="N22" s="22">
        <f>MAX(0,$D$2-SUM(N9:N18))</f>
        <v/>
      </c>
      <c r="O22" s="22">
        <f>MAX(0,$D$2-SUM(O9:O18))</f>
        <v/>
      </c>
      <c r="P22" s="22">
        <f>MAX(0,$D$2-SUM(P9:P18))</f>
        <v/>
      </c>
      <c r="Q22" s="22">
        <f>MAX(0,$D$2-SUM(Q9:Q18))</f>
        <v/>
      </c>
      <c r="R22" s="22">
        <f>MAX(0,$D$2-SUM(R9:R18))</f>
        <v/>
      </c>
      <c r="S22" s="22">
        <f>MAX(0,$D$2-SUM(S9:S18))</f>
        <v/>
      </c>
      <c r="T22" s="22">
        <f>MAX(0,$D$2-SUM(T9:T18))</f>
        <v/>
      </c>
      <c r="U22" s="22">
        <f>MAX(0,$D$2-SUM(U9:U18))</f>
        <v/>
      </c>
      <c r="V22" s="22">
        <f>MAX(0,$D$2-SUM(V9:V18))</f>
        <v/>
      </c>
      <c r="W22" s="22">
        <f>MAX(0,$D$2-SUM(W9:W18))</f>
        <v/>
      </c>
      <c r="X22" s="22">
        <f>MAX(0,$D$2-SUM(X9:X18))</f>
        <v/>
      </c>
      <c r="Y22" s="22">
        <f>IF(MONTH($B$3+0)=MONTH($B$3),MAX(0,$D$2-SUM(Y9:Y18)),"")</f>
        <v/>
      </c>
      <c r="Z22" s="22">
        <f>IF(MONTH($B$3+1)=MONTH($B$3),MAX(0,$D$2-SUM(Z9:Z18)),"")</f>
        <v/>
      </c>
      <c r="AA22" s="22">
        <f>IF(MONTH($B$3+2)=MONTH($B$3),MAX(0,$D$2-SUM(AA9:AA18)),"")</f>
        <v/>
      </c>
      <c r="AB22" s="22">
        <f>IF(MONTH($B$3+3)=MONTH($B$3),MAX(0,$D$2-SUM(AB9:AB18)),"")</f>
        <v/>
      </c>
      <c r="AC22" s="22">
        <f>IF(MONTH($B$3+4)=MONTH($B$3),MAX(0,$D$2-SUM(AC9:AC18)),"")</f>
        <v/>
      </c>
      <c r="AD22" s="22">
        <f>IF(MONTH($B$3+5)=MONTH($B$3),MAX(0,$D$2-SUM(AD9:AD18)),"")</f>
        <v/>
      </c>
      <c r="AE22" s="22">
        <f>IF(MONTH($B$3+6)=MONTH($B$3),MAX(0,$D$2-SUM(AE9:AE18)),"")</f>
        <v/>
      </c>
      <c r="AF22" s="22">
        <f>IF(MONTH($B$3+7)=MONTH($B$3),MAX(0,$D$2-SUM(AF9:AF18)),"")</f>
        <v/>
      </c>
      <c r="AG22">
        <f>IF(MONTH($B$3+8)=MONTH($B$3),MAX(0,$D$2-SUM(AG9:AG18)),"")</f>
        <v/>
      </c>
      <c r="AH22">
        <f>IF(MONTH($B$3+9)=MONTH($B$3),MAX(0,$D$2-SUM(AH9:AH18)),"")</f>
        <v/>
      </c>
      <c r="AI22">
        <f>IF(MONTH($B$3+10)=MONTH($B$3),MAX(0,$D$2-SUM(AI9:AI18)),"")</f>
        <v/>
      </c>
      <c r="AJ22">
        <f>IF(MONTH($B$3+11)=MONTH($B$3),MAX(0,$D$2-SUM(AJ9:AJ18)),"")</f>
        <v/>
      </c>
      <c r="AK22">
        <f>IF(MONTH($B$3+12)=MONTH($B$3),MAX(0,$D$2-SUM(AK9:AK18)),"")</f>
        <v/>
      </c>
      <c r="AL22">
        <f>IF(MONTH($B$3+13)=MONTH($B$3),MAX(0,$D$2-SUM(AL9:AL18)),"")</f>
        <v/>
      </c>
      <c r="AM22">
        <f>IF(MONTH($B$3+14)=MONTH($B$3),MAX(0,$D$2-SUM(AM9:AM18)),"")</f>
        <v/>
      </c>
      <c r="AN22">
        <f>IF(MONTH($B$3+15)=MONTH($B$3),MAX(0,$D$2-SUM(AN9:AN18)),"")</f>
        <v/>
      </c>
      <c r="AO22">
        <f>IF(MONTH($B$3+16)=MONTH($B$3),MAX(0,$D$2-SUM(AO9:AO18)),"")</f>
        <v/>
      </c>
      <c r="AP22">
        <f>IF(MONTH($B$3+17)=MONTH($B$3),MAX(0,$D$2-SUM(AP9:AP18)),"")</f>
        <v/>
      </c>
      <c r="AQ22">
        <f>IF(MONTH($B$3+18)=MONTH($B$3),MAX(0,$D$2-SUM(AQ9:AQ18)),"")</f>
        <v/>
      </c>
      <c r="AR22">
        <f>IF(MONTH($B$3+19)=MONTH($B$3),MAX(0,$D$2-SUM(AR9:AR18)),"")</f>
        <v/>
      </c>
      <c r="AS22">
        <f>IF(MONTH($B$3+20)=MONTH($B$3),MAX(0,$D$2-SUM(AS9:AS18)),"")</f>
        <v/>
      </c>
      <c r="AT22">
        <f>IF(MONTH($B$3+21)=MONTH($B$3),MAX(0,$D$2-SUM(AT9:AT18)),"")</f>
        <v/>
      </c>
      <c r="AU22">
        <f>IF(MONTH($B$3+22)=MONTH($B$3),MAX(0,$D$2-SUM(AU9:AU18)),"")</f>
        <v/>
      </c>
      <c r="AV22">
        <f>IF(MONTH($B$3+23)=MONTH($B$3),MAX(0,$D$2-SUM(AV9:AV18)),"")</f>
        <v/>
      </c>
      <c r="AW22">
        <f>IF(MONTH($B$3+24)=MONTH($B$3),MAX(0,$D$2-SUM(AW9:AW18)),"")</f>
        <v/>
      </c>
      <c r="AX22">
        <f>IF(MONTH($B$3+25)=MONTH($B$3),MAX(0,$D$2-SUM(AX9:AX18)),"")</f>
        <v/>
      </c>
      <c r="AY22">
        <f>IF(MONTH($B$3+26)=MONTH($B$3),MAX(0,$D$2-SUM(AY9:AY18)),"")</f>
        <v/>
      </c>
      <c r="AZ22">
        <f>IF(MONTH($B$3+27)=MONTH($B$3),MAX(0,$D$2-SUM(AZ9:AZ18)),"")</f>
        <v/>
      </c>
      <c r="BA22">
        <f>IF(MONTH($B$3+28)=MONTH($B$3),MAX(0,$D$2-SUM(BA9:BA18)),"")</f>
        <v/>
      </c>
      <c r="BB22">
        <f>IF(MONTH($B$3+29)=MONTH($B$3),MAX(0,$D$2-SUM(BB9:BB18)),"")</f>
        <v/>
      </c>
      <c r="BC22">
        <f>IF(MONTH($B$3+30)=MONTH($B$3),MAX(0,$D$2-SUM(BC9:BC18)),"")</f>
        <v/>
      </c>
    </row>
  </sheetData>
  <mergeCells count="7">
    <mergeCell ref="W6:AC6"/>
    <mergeCell ref="AD6:AF6"/>
    <mergeCell ref="B6:H6"/>
    <mergeCell ref="I6:O6"/>
    <mergeCell ref="A4:C4"/>
    <mergeCell ref="A6:A8"/>
    <mergeCell ref="P6:V6"/>
  </mergeCells>
  <conditionalFormatting sqref="H2">
    <cfRule type="dataBar" priority="1">
      <dataBar>
        <cfvo type="num" val="0"/>
        <cfvo type="num" val="1"/>
        <color rgb="004F8A10"/>
      </dataBar>
    </cfRule>
  </conditionalFormatting>
  <conditionalFormatting sqref="B9:AF18">
    <cfRule type="cellIs" priority="2" operator="equal" dxfId="0">
      <formula>1</formula>
    </cfRule>
  </conditionalFormatting>
  <dataValidations count="1">
    <dataValidation sqref="B9:AF18" showDropDown="1" showInputMessage="0" showErrorMessage="0" allowBlank="1" type="list">
      <formula1>0,1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4" customWidth="1" min="5" max="5"/>
    <col width="3" customWidth="1" min="6" max="6"/>
  </cols>
  <sheetData>
    <row r="1">
      <c r="A1" s="1" t="inlineStr">
        <is>
          <t>Analysis</t>
        </is>
      </c>
    </row>
    <row r="3">
      <c r="A3" s="2" t="inlineStr">
        <is>
          <t>Overall progress</t>
        </is>
      </c>
      <c r="B3" s="23">
        <f>IFERROR('Monthly Habits'!$H$2,0)</f>
        <v/>
      </c>
      <c r="D3" s="2" t="inlineStr">
        <is>
          <t>Progress in %</t>
        </is>
      </c>
      <c r="E3" s="24">
        <f>B3</f>
        <v/>
      </c>
    </row>
    <row r="6">
      <c r="A6" s="18" t="inlineStr">
        <is>
          <t>Habit</t>
        </is>
      </c>
      <c r="B6" s="18" t="inlineStr">
        <is>
          <t>Goal</t>
        </is>
      </c>
      <c r="C6" s="18" t="inlineStr">
        <is>
          <t>Actual</t>
        </is>
      </c>
      <c r="D6" s="18" t="inlineStr">
        <is>
          <t>Progress</t>
        </is>
      </c>
    </row>
    <row r="7">
      <c r="A7" s="25">
        <f>'Monthly Habits'!$A$9</f>
        <v/>
      </c>
      <c r="B7" s="26">
        <f>DAY(EOMONTH('Monthly Habits'!$B$3,0))</f>
        <v/>
      </c>
      <c r="C7" s="26">
        <f>SUM('Monthly Habits'!B9:AF9)</f>
        <v/>
      </c>
      <c r="D7" s="27">
        <f>IFERROR(C7/B7,0)</f>
        <v/>
      </c>
    </row>
    <row r="8">
      <c r="A8" s="25">
        <f>'Monthly Habits'!$A$10</f>
        <v/>
      </c>
      <c r="B8" s="26">
        <f>DAY(EOMONTH('Monthly Habits'!$B$3,0))</f>
        <v/>
      </c>
      <c r="C8" s="26">
        <f>SUM('Monthly Habits'!B10:AF10)</f>
        <v/>
      </c>
      <c r="D8" s="27">
        <f>IFERROR(C8/B8,0)</f>
        <v/>
      </c>
    </row>
    <row r="9">
      <c r="A9" s="25">
        <f>'Monthly Habits'!$A$11</f>
        <v/>
      </c>
      <c r="B9" s="26">
        <f>DAY(EOMONTH('Monthly Habits'!$B$3,0))</f>
        <v/>
      </c>
      <c r="C9" s="26">
        <f>SUM('Monthly Habits'!B11:AF11)</f>
        <v/>
      </c>
      <c r="D9" s="27">
        <f>IFERROR(C9/B9,0)</f>
        <v/>
      </c>
    </row>
    <row r="10">
      <c r="A10" s="25">
        <f>'Monthly Habits'!$A$12</f>
        <v/>
      </c>
      <c r="B10" s="26">
        <f>DAY(EOMONTH('Monthly Habits'!$B$3,0))</f>
        <v/>
      </c>
      <c r="C10" s="26">
        <f>SUM('Monthly Habits'!B12:AF12)</f>
        <v/>
      </c>
      <c r="D10" s="27">
        <f>IFERROR(C10/B10,0)</f>
        <v/>
      </c>
    </row>
    <row r="11">
      <c r="A11" s="25">
        <f>'Monthly Habits'!$A$13</f>
        <v/>
      </c>
      <c r="B11" s="26">
        <f>DAY(EOMONTH('Monthly Habits'!$B$3,0))</f>
        <v/>
      </c>
      <c r="C11" s="26">
        <f>SUM('Monthly Habits'!B13:AF13)</f>
        <v/>
      </c>
      <c r="D11" s="27">
        <f>IFERROR(C11/B11,0)</f>
        <v/>
      </c>
    </row>
    <row r="12">
      <c r="A12" s="25">
        <f>'Monthly Habits'!$A$14</f>
        <v/>
      </c>
      <c r="B12" s="26">
        <f>DAY(EOMONTH('Monthly Habits'!$B$3,0))</f>
        <v/>
      </c>
      <c r="C12" s="26">
        <f>SUM('Monthly Habits'!B14:AF14)</f>
        <v/>
      </c>
      <c r="D12" s="27">
        <f>IFERROR(C12/B12,0)</f>
        <v/>
      </c>
    </row>
    <row r="13">
      <c r="A13" s="25">
        <f>'Monthly Habits'!$A$15</f>
        <v/>
      </c>
      <c r="B13" s="26">
        <f>DAY(EOMONTH('Monthly Habits'!$B$3,0))</f>
        <v/>
      </c>
      <c r="C13" s="26">
        <f>SUM('Monthly Habits'!B15:AF15)</f>
        <v/>
      </c>
      <c r="D13" s="27">
        <f>IFERROR(C13/B13,0)</f>
        <v/>
      </c>
    </row>
    <row r="14">
      <c r="A14" s="25">
        <f>'Monthly Habits'!$A$16</f>
        <v/>
      </c>
      <c r="B14" s="26">
        <f>DAY(EOMONTH('Monthly Habits'!$B$3,0))</f>
        <v/>
      </c>
      <c r="C14" s="26">
        <f>SUM('Monthly Habits'!B16:AF16)</f>
        <v/>
      </c>
      <c r="D14" s="27">
        <f>IFERROR(C14/B14,0)</f>
        <v/>
      </c>
    </row>
    <row r="15">
      <c r="A15" s="25">
        <f>'Monthly Habits'!$A$17</f>
        <v/>
      </c>
      <c r="B15" s="26">
        <f>DAY(EOMONTH('Monthly Habits'!$B$3,0))</f>
        <v/>
      </c>
      <c r="C15" s="26">
        <f>SUM('Monthly Habits'!B17:AF17)</f>
        <v/>
      </c>
      <c r="D15" s="27">
        <f>IFERROR(C15/B15,0)</f>
        <v/>
      </c>
    </row>
    <row r="16">
      <c r="A16" s="25">
        <f>'Monthly Habits'!$A$18</f>
        <v/>
      </c>
      <c r="B16" s="26">
        <f>DAY(EOMONTH('Monthly Habits'!$B$3,0))</f>
        <v/>
      </c>
      <c r="C16" s="26">
        <f>SUM('Monthly Habits'!B18:AF18)</f>
        <v/>
      </c>
      <c r="D16" s="27">
        <f>IFERROR(C16/B16,0)</f>
        <v/>
      </c>
    </row>
  </sheetData>
  <conditionalFormatting sqref="B3">
    <cfRule type="dataBar" priority="1">
      <dataBar>
        <cfvo type="num" val="0"/>
        <cfvo type="num" val="1"/>
        <color rgb="004F8A10"/>
      </dataBar>
    </cfRule>
  </conditionalFormatting>
  <conditionalFormatting sqref="D7:D16">
    <cfRule type="dataBar" priority="2">
      <dataBar>
        <cfvo type="num" val="0"/>
        <cfvo type="num" val="1"/>
        <color rgb="004F8A10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2025-12-28T16:35:31Z</dcterms:created>
  <dcterms:modified xmlns:dcterms="http://purl.org/dc/terms/" xmlns:xsi="http://www.w3.org/2001/XMLSchema-instance" xsi:type="dcterms:W3CDTF">2025-12-28T16:43:57Z</dcterms:modified>
</cp:coreProperties>
</file>